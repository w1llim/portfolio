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codeName="ThisWorkbook"/>
  <mc:AlternateContent xmlns:mc="http://schemas.openxmlformats.org/markup-compatibility/2006">
    <mc:Choice Requires="x15">
      <x15ac:absPath xmlns:x15ac="http://schemas.microsoft.com/office/spreadsheetml/2010/11/ac" url="C:\Users\willi\My Drive\School\Software Engineering\Task 3\at3_eportfolio\Documentation\02.Researching_and_Planning\"/>
    </mc:Choice>
  </mc:AlternateContent>
  <xr:revisionPtr revIDLastSave="0" documentId="13_ncr:1_{9E2759D9-EF15-452F-A4B5-54639DBEC087}" xr6:coauthVersionLast="47" xr6:coauthVersionMax="47" xr10:uidLastSave="{00000000-0000-0000-0000-000000000000}"/>
  <bookViews>
    <workbookView xWindow="-120" yWindow="450" windowWidth="38640" windowHeight="15870" xr2:uid="{00000000-000D-0000-FFFF-FFFF00000000}"/>
  </bookViews>
  <sheets>
    <sheet name="Project schedule" sheetId="11" r:id="rId1"/>
    <sheet name="About" sheetId="12" r:id="rId2"/>
  </sheets>
  <definedNames>
    <definedName name="Display_Week">'Project schedule'!$Q$2</definedName>
    <definedName name="_xlnm.Print_Titles" localSheetId="0">'Project schedule'!$4:$6</definedName>
    <definedName name="Project_Start">'Project schedule'!$Q$1</definedName>
    <definedName name="task_end" localSheetId="0">'Project schedule'!$F1</definedName>
    <definedName name="task_progress" localSheetId="0">'Project schedule'!$D1</definedName>
    <definedName name="task_start" localSheetId="0">'Project schedule'!$E1</definedName>
    <definedName name="today" localSheetId="0">TODAY()</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18" i="11" l="1"/>
  <c r="E19" i="11"/>
  <c r="E13" i="11"/>
  <c r="E32" i="11"/>
  <c r="E31" i="11"/>
  <c r="F24" i="11"/>
  <c r="F23" i="11"/>
  <c r="F22" i="11"/>
  <c r="E23" i="11"/>
  <c r="E26" i="11"/>
  <c r="E27" i="11"/>
  <c r="H7" i="11"/>
  <c r="E24" i="11" l="1"/>
  <c r="E22" i="11"/>
  <c r="E9" i="11"/>
  <c r="F9" i="11" l="1"/>
  <c r="E10" i="11" s="1"/>
  <c r="I5" i="11"/>
  <c r="H34" i="11"/>
  <c r="H33" i="11"/>
  <c r="H28" i="11"/>
  <c r="H20" i="11"/>
  <c r="H14" i="11"/>
  <c r="H8" i="11"/>
  <c r="H21" i="11" l="1"/>
  <c r="H9" i="11"/>
  <c r="F10" i="11"/>
  <c r="E11" i="11" s="1"/>
  <c r="I6" i="11"/>
  <c r="H22" i="11" l="1"/>
  <c r="H10" i="11"/>
  <c r="F11" i="11"/>
  <c r="E12" i="11" s="1"/>
  <c r="J5" i="11"/>
  <c r="K5" i="11" s="1"/>
  <c r="L5" i="11" s="1"/>
  <c r="M5" i="11" s="1"/>
  <c r="N5" i="11" s="1"/>
  <c r="O5" i="11" s="1"/>
  <c r="P5" i="11" s="1"/>
  <c r="I4" i="11"/>
  <c r="H27" i="11" l="1"/>
  <c r="E25" i="11"/>
  <c r="H25" i="11" s="1"/>
  <c r="H23" i="11"/>
  <c r="H11" i="11"/>
  <c r="P4" i="11"/>
  <c r="Q5" i="11"/>
  <c r="R5" i="11" s="1"/>
  <c r="S5" i="11" s="1"/>
  <c r="T5" i="11" s="1"/>
  <c r="U5" i="11" s="1"/>
  <c r="V5" i="11" s="1"/>
  <c r="W5" i="11" s="1"/>
  <c r="J6" i="11"/>
  <c r="E30" i="11" l="1"/>
  <c r="H13" i="11"/>
  <c r="W4" i="11"/>
  <c r="X5" i="11"/>
  <c r="Y5" i="11" s="1"/>
  <c r="Z5" i="11" s="1"/>
  <c r="AA5" i="11" s="1"/>
  <c r="AB5" i="11" s="1"/>
  <c r="AC5" i="11" s="1"/>
  <c r="AD5" i="11" s="1"/>
  <c r="K6" i="11"/>
  <c r="H32" i="11" l="1"/>
  <c r="H29" i="11"/>
  <c r="AE5" i="11"/>
  <c r="AF5" i="11" s="1"/>
  <c r="AG5" i="11" s="1"/>
  <c r="AH5" i="11" s="1"/>
  <c r="AI5" i="11" s="1"/>
  <c r="AJ5" i="11" s="1"/>
  <c r="AD4" i="11"/>
  <c r="L6" i="11"/>
  <c r="H30" i="11" l="1"/>
  <c r="H15" i="11"/>
  <c r="E16" i="11"/>
  <c r="AK5" i="11"/>
  <c r="AL5" i="11" s="1"/>
  <c r="AM5" i="11" s="1"/>
  <c r="AN5" i="11" s="1"/>
  <c r="AO5" i="11" s="1"/>
  <c r="AP5" i="11" s="1"/>
  <c r="AQ5" i="11" s="1"/>
  <c r="M6" i="11"/>
  <c r="E17" i="11" l="1"/>
  <c r="H16" i="11"/>
  <c r="AR5" i="11"/>
  <c r="AS5" i="11" s="1"/>
  <c r="AK4" i="11"/>
  <c r="N6" i="11"/>
  <c r="H17" i="11" l="1"/>
  <c r="AT5" i="11"/>
  <c r="AS6" i="11"/>
  <c r="AR4" i="11"/>
  <c r="O6" i="11"/>
  <c r="AU5" i="11" l="1"/>
  <c r="AT6" i="11"/>
  <c r="AV5" i="11" l="1"/>
  <c r="AU6" i="11"/>
  <c r="P6" i="11"/>
  <c r="Q6" i="11"/>
  <c r="AW5" i="11" l="1"/>
  <c r="AV6" i="11"/>
  <c r="R6" i="11"/>
  <c r="AX5" i="11" l="1"/>
  <c r="AY5" i="11" s="1"/>
  <c r="AW6" i="11"/>
  <c r="S6" i="11"/>
  <c r="AY6" i="11" l="1"/>
  <c r="AZ5" i="11"/>
  <c r="AY4" i="11"/>
  <c r="AX6" i="11"/>
  <c r="T6" i="11"/>
  <c r="BA5" i="11" l="1"/>
  <c r="AZ6" i="11"/>
  <c r="U6" i="11"/>
  <c r="BA6" i="11" l="1"/>
  <c r="BB5" i="11"/>
  <c r="V6" i="11"/>
  <c r="BB6" i="11" l="1"/>
  <c r="BC5" i="11"/>
  <c r="W6" i="11"/>
  <c r="BC6" i="11" l="1"/>
  <c r="BD5" i="11"/>
  <c r="X6" i="11"/>
  <c r="BE5" i="11" l="1"/>
  <c r="BD6" i="11"/>
  <c r="Y6" i="11"/>
  <c r="BE6" i="11" l="1"/>
  <c r="BF5" i="11"/>
  <c r="Z6" i="11"/>
  <c r="BF6" i="11" l="1"/>
  <c r="BG5" i="11"/>
  <c r="BF4" i="11"/>
  <c r="AA6" i="11"/>
  <c r="BG6" i="11" l="1"/>
  <c r="BH5" i="11"/>
  <c r="AB6" i="11"/>
  <c r="BI5" i="11" l="1"/>
  <c r="BH6" i="11"/>
  <c r="AC6" i="11"/>
  <c r="BJ5" i="11" l="1"/>
  <c r="BI6" i="11"/>
  <c r="AD6" i="11"/>
  <c r="BK5" i="11" l="1"/>
  <c r="BJ6" i="11"/>
  <c r="AE6" i="11"/>
  <c r="BL5" i="11" l="1"/>
  <c r="BM5" i="11" s="1"/>
  <c r="BK6" i="11"/>
  <c r="AF6" i="11"/>
  <c r="BM4" i="11" l="1"/>
  <c r="BN5" i="11"/>
  <c r="BM6" i="11"/>
  <c r="BL6" i="11"/>
  <c r="AG6" i="11"/>
  <c r="BN6" i="11" l="1"/>
  <c r="BO5" i="11"/>
  <c r="AH6" i="11"/>
  <c r="BO6" i="11" l="1"/>
  <c r="BP5" i="11"/>
  <c r="AI6" i="11"/>
  <c r="BP6" i="11" l="1"/>
  <c r="BQ5" i="11"/>
  <c r="AJ6" i="11"/>
  <c r="BQ6" i="11" l="1"/>
  <c r="BR5" i="11"/>
  <c r="AK6" i="11"/>
  <c r="BR6" i="11" l="1"/>
  <c r="BS5" i="11"/>
  <c r="AL6" i="11"/>
  <c r="BT5" i="11" l="1"/>
  <c r="BS6" i="11"/>
  <c r="AM6" i="11"/>
  <c r="BT4" i="11" l="1"/>
  <c r="BU5" i="11"/>
  <c r="BT6" i="11"/>
  <c r="AN6" i="11"/>
  <c r="BU6" i="11" l="1"/>
  <c r="BV5" i="11"/>
  <c r="AO6" i="11"/>
  <c r="BV6" i="11" l="1"/>
  <c r="BW5" i="11"/>
  <c r="AP6" i="11"/>
  <c r="BX5" i="11" l="1"/>
  <c r="BW6" i="11"/>
  <c r="AQ6" i="11"/>
  <c r="BX6" i="11" l="1"/>
  <c r="BY5" i="11"/>
  <c r="AR6" i="11"/>
  <c r="BZ5" i="11" l="1"/>
  <c r="BY6" i="11"/>
  <c r="BZ6" i="11" l="1"/>
  <c r="CA5" i="11"/>
  <c r="CA4" i="11" l="1"/>
  <c r="CA6" i="11"/>
  <c r="CB5" i="11"/>
  <c r="CC5" i="11" l="1"/>
  <c r="CB6" i="11"/>
  <c r="CC6" i="11" l="1"/>
  <c r="CD5" i="11"/>
  <c r="CD6" i="11" l="1"/>
  <c r="CE5" i="11"/>
  <c r="CE6" i="11" l="1"/>
  <c r="CF5" i="11"/>
  <c r="CF6" i="11" l="1"/>
  <c r="CG5" i="11"/>
  <c r="CG6" i="11" l="1"/>
  <c r="CH5" i="11"/>
  <c r="CI5" i="11" l="1"/>
  <c r="CH4" i="11"/>
  <c r="CH6" i="11"/>
  <c r="CJ5" i="11" l="1"/>
  <c r="CI6" i="11"/>
  <c r="CJ6" i="11" l="1"/>
  <c r="CK5" i="11"/>
  <c r="CK6" i="11" l="1"/>
  <c r="CL5" i="11"/>
  <c r="CL6" i="11" l="1"/>
  <c r="CM5" i="11"/>
  <c r="CM6" i="11" l="1"/>
  <c r="CN5" i="11"/>
  <c r="CO5" i="11" l="1"/>
  <c r="CN6" i="11"/>
  <c r="CO4" i="11" l="1"/>
  <c r="CP5" i="11"/>
  <c r="CO6" i="11"/>
  <c r="CQ5" i="11" l="1"/>
  <c r="CP6" i="11"/>
  <c r="CR5" i="11" l="1"/>
  <c r="CQ6" i="11"/>
  <c r="CR6" i="11" l="1"/>
  <c r="CS5" i="11"/>
  <c r="CS6" i="11" l="1"/>
  <c r="CT5" i="11"/>
  <c r="CT6" i="11" l="1"/>
  <c r="CU5" i="11"/>
  <c r="CU6" i="11" l="1"/>
  <c r="CV5" i="11"/>
  <c r="CW5" i="11" l="1"/>
  <c r="CV4" i="11"/>
  <c r="CV6" i="11"/>
  <c r="CX5" i="11" l="1"/>
  <c r="CW6" i="11"/>
  <c r="CY5" i="11" l="1"/>
  <c r="CX6" i="11"/>
  <c r="CZ5" i="11" l="1"/>
  <c r="CY6" i="11"/>
  <c r="CZ6" i="11" l="1"/>
  <c r="DA5" i="11"/>
  <c r="DA6" i="11" l="1"/>
  <c r="DB5" i="11"/>
  <c r="DB6" i="11" l="1"/>
  <c r="DC5" i="11"/>
  <c r="DD5" i="11" l="1"/>
  <c r="DC4" i="11"/>
  <c r="DC6" i="11"/>
  <c r="DD6" i="11" l="1"/>
  <c r="DE5" i="11"/>
  <c r="DE6" i="11" l="1"/>
  <c r="DF5" i="11"/>
  <c r="DF6" i="11" l="1"/>
  <c r="DG5" i="11"/>
  <c r="DG6" i="11" l="1"/>
  <c r="DH5" i="11"/>
  <c r="DH6" i="11" l="1"/>
  <c r="DI5" i="11"/>
  <c r="DI6" i="11" l="1"/>
  <c r="DJ5" i="11"/>
  <c r="DK5" i="11" l="1"/>
  <c r="DJ6" i="11"/>
  <c r="DJ4" i="11"/>
  <c r="DL5" i="11" l="1"/>
  <c r="DK6" i="11"/>
  <c r="DL6" i="11" l="1"/>
  <c r="DM5" i="11"/>
  <c r="DN5" i="11" l="1"/>
  <c r="DM6" i="11"/>
  <c r="DN6" i="11" l="1"/>
  <c r="DO5" i="11"/>
  <c r="DO6" i="11" l="1"/>
  <c r="DP5" i="11"/>
  <c r="DP6" i="11" l="1"/>
  <c r="DQ5" i="11"/>
  <c r="DQ4" i="11" l="1"/>
  <c r="DQ6" i="11"/>
  <c r="DR5" i="11"/>
  <c r="DR6" i="11" l="1"/>
  <c r="DS5" i="11"/>
  <c r="DT5" i="11" l="1"/>
  <c r="DS6" i="11"/>
  <c r="DT6" i="11" l="1"/>
  <c r="DU5" i="11"/>
  <c r="DU6" i="11" l="1"/>
  <c r="DV5" i="11"/>
  <c r="DW5" i="11" l="1"/>
  <c r="DW6" i="11" s="1"/>
  <c r="DV6" i="11"/>
</calcChain>
</file>

<file path=xl/sharedStrings.xml><?xml version="1.0" encoding="utf-8"?>
<sst xmlns="http://schemas.openxmlformats.org/spreadsheetml/2006/main" count="73" uniqueCount="51">
  <si>
    <t>Insert new rows ABOVE this one</t>
  </si>
  <si>
    <t>PROGRESS</t>
  </si>
  <si>
    <t>Project Management Templates</t>
  </si>
  <si>
    <t>START</t>
  </si>
  <si>
    <t>END</t>
  </si>
  <si>
    <t>TASK</t>
  </si>
  <si>
    <t>More Project Management Templates</t>
  </si>
  <si>
    <t>About This Template</t>
  </si>
  <si>
    <t>SIMPLE GANTT CHART by Vertex42.com</t>
  </si>
  <si>
    <t>Additional Help</t>
  </si>
  <si>
    <t>About Vertex42</t>
  </si>
  <si>
    <t>Vertex42.com provides over 300 professionally designed spreadsheet templates for business, home, and education - most of which are free to download. Their collection includes a variety of calendars, planners, and schedules as well as personal finance spreadsheets for budgeting, debt reduction, and loan amortization.</t>
  </si>
  <si>
    <t>Businesses will find invoices, time sheets, inventory trackers, financial statements, and project planning templates. Teachers and students will find resources such as class schedules, grade books, and attendance sheets. Organize your family life with meal planners, checklists, and exercise logs. Each template is thoroughly researched, refined, and improved over time through feedback from thousands of users.</t>
  </si>
  <si>
    <t>https://www.vertex42.com/ExcelTemplates/simple-gantt-chart.html</t>
  </si>
  <si>
    <t>Visit Vertex42.com to download other project management templates, including different types of project schedules, Gantt charts, tasks lists, etc.</t>
  </si>
  <si>
    <t>How to Use the Simple Gantt Chart</t>
  </si>
  <si>
    <t>This template provides a simple way to create a Gantt chart to help visualize and track your project. Simply enter your tasks and start and end dates - no formulas required. The bars in the Gantt chart represent the duration of the task and are displayed using conditional formatting. Insert new tasks by inserting new rows.</t>
  </si>
  <si>
    <t>Click on the link below to visit vertex42.com and learn more about how to use this template, such as how to calculate days and work days, create task dependencies, change the colors of the bars, add a scroll bar to make it easier to change the display week, extend the date range displayed in the chart, etc.</t>
  </si>
  <si>
    <t>There are 2 worksheets in this workbook. 
TimeSheet
About
The instructions for each worksheet are in the A column starting in cell A1 of each worksheet. They are written with hidden text. Each step guides you through the information in that row. Each subsequent step continues in cell A2, A3, and so on, unless otherwise explicitly directed. For example, instruction text might say "continue to cell A6" for the next step. 
This hidden text will not print.
To remove these instructions from the worksheet, simply delete column A.</t>
  </si>
  <si>
    <t>Guide for Screen Readers</t>
  </si>
  <si>
    <t xml:space="preserve">Do not delete this row. This row is hidden to preserve a formula that is used to highlight the current day within the project schedule. </t>
  </si>
  <si>
    <t>Project start:</t>
  </si>
  <si>
    <t>Display week:</t>
  </si>
  <si>
    <t>ASSIGNED TO</t>
  </si>
  <si>
    <t>Evaluation</t>
  </si>
  <si>
    <t>Identifying and Defining</t>
  </si>
  <si>
    <t>Researching and Planning</t>
  </si>
  <si>
    <t>Testing and Evaluating</t>
  </si>
  <si>
    <t>Software Solution</t>
  </si>
  <si>
    <t>William Lam</t>
  </si>
  <si>
    <t>Software Project</t>
  </si>
  <si>
    <t>Define Problem</t>
  </si>
  <si>
    <t>Create ePortfolio</t>
  </si>
  <si>
    <t>Define Software Approach</t>
  </si>
  <si>
    <t>Portfolio Work</t>
  </si>
  <si>
    <t>Create Gantt Chart</t>
  </si>
  <si>
    <t>QA Checklist</t>
  </si>
  <si>
    <t>Identify Client</t>
  </si>
  <si>
    <t>Do Portfolio Work</t>
  </si>
  <si>
    <t>W Lam</t>
  </si>
  <si>
    <t>Build HTML</t>
  </si>
  <si>
    <t>Build CSS</t>
  </si>
  <si>
    <t>Build JS</t>
  </si>
  <si>
    <t>Report</t>
  </si>
  <si>
    <t>Summary</t>
  </si>
  <si>
    <t>Code Optimisation</t>
  </si>
  <si>
    <t>Feedback from Client</t>
  </si>
  <si>
    <t>Build Backend</t>
  </si>
  <si>
    <t>Submission</t>
  </si>
  <si>
    <t>Finish Stage</t>
  </si>
  <si>
    <t>Finish Prototype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</si>
</sst>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7">
    <numFmt numFmtId="164" formatCode="_(* #,##0.00_);_(* \(#,##0.00\);_(* &quot;-&quot;??_);_(@_)"/>
    <numFmt numFmtId="165" formatCode="m/d/yy;@"/>
    <numFmt numFmtId="166" formatCode="ddd\,\ m/d/yyyy"/>
    <numFmt numFmtId="167" formatCode="mmm\ d\,\ yyyy"/>
    <numFmt numFmtId="168" formatCode="d"/>
    <numFmt numFmtId="169" formatCode="[$-F800]dddd\,\ mmmm\ dd\,\ yyyy"/>
    <numFmt numFmtId="170" formatCode="d/mm/yy;@"/>
  </numFmts>
  <fonts count="33" x14ac:knownFonts="1">
    <font>
      <sz val="11"/>
      <color theme="1"/>
      <name val="Arial"/>
      <family val="2"/>
      <scheme val="minor"/>
    </font>
    <font>
      <sz val="10"/>
      <name val="Arial"/>
      <family val="2"/>
      <scheme val="minor"/>
    </font>
    <font>
      <u/>
      <sz val="11"/>
      <color indexed="12"/>
      <name val="Arial"/>
      <family val="2"/>
    </font>
    <font>
      <sz val="11"/>
      <name val="Arial"/>
      <family val="2"/>
      <scheme val="minor"/>
    </font>
    <font>
      <sz val="11"/>
      <color theme="1"/>
      <name val="Arial"/>
      <family val="2"/>
      <scheme val="minor"/>
    </font>
    <font>
      <sz val="14"/>
      <color theme="1"/>
      <name val="Arial"/>
      <family val="2"/>
      <scheme val="minor"/>
    </font>
    <font>
      <b/>
      <sz val="22"/>
      <color theme="1" tint="0.34998626667073579"/>
      <name val="Arial Black"/>
      <family val="2"/>
      <scheme val="major"/>
    </font>
    <font>
      <b/>
      <sz val="11"/>
      <color theme="1" tint="0.499984740745262"/>
      <name val="Arial"/>
      <family val="2"/>
      <scheme val="minor"/>
    </font>
    <font>
      <sz val="10"/>
      <color theme="1" tint="0.499984740745262"/>
      <name val="Arial"/>
      <family val="2"/>
    </font>
    <font>
      <b/>
      <sz val="12"/>
      <color theme="1" tint="0.34998626667073579"/>
      <name val="Arial"/>
      <family val="2"/>
      <scheme val="minor"/>
    </font>
    <font>
      <b/>
      <sz val="10"/>
      <name val="Arial"/>
      <family val="2"/>
      <scheme val="minor"/>
    </font>
    <font>
      <sz val="11"/>
      <color theme="1" tint="0.499984740745262"/>
      <name val="Arial"/>
      <family val="2"/>
      <scheme val="minor"/>
    </font>
    <font>
      <sz val="20"/>
      <name val="Arial Black"/>
      <family val="2"/>
      <scheme val="major"/>
    </font>
    <font>
      <sz val="11"/>
      <color theme="0"/>
      <name val="Arial"/>
      <family val="2"/>
      <scheme val="minor"/>
    </font>
    <font>
      <sz val="10"/>
      <name val="Arial"/>
      <family val="2"/>
    </font>
    <font>
      <b/>
      <sz val="20"/>
      <color theme="4" tint="-0.249977111117893"/>
      <name val="Arial"/>
      <family val="2"/>
    </font>
    <font>
      <sz val="11"/>
      <color theme="1"/>
      <name val="Arial"/>
      <family val="2"/>
    </font>
    <font>
      <sz val="16"/>
      <color theme="1"/>
      <name val="Arial"/>
      <family val="2"/>
      <scheme val="minor"/>
    </font>
    <font>
      <b/>
      <sz val="11"/>
      <name val="Arial"/>
      <family val="2"/>
      <scheme val="minor"/>
    </font>
    <font>
      <sz val="10"/>
      <color theme="1"/>
      <name val="Arial"/>
      <family val="2"/>
      <scheme val="minor"/>
    </font>
    <font>
      <b/>
      <sz val="10"/>
      <color theme="1"/>
      <name val="Arial"/>
      <family val="2"/>
      <scheme val="minor"/>
    </font>
    <font>
      <b/>
      <sz val="8"/>
      <name val="Arial"/>
      <family val="2"/>
      <scheme val="minor"/>
    </font>
    <font>
      <b/>
      <sz val="8"/>
      <color theme="1"/>
      <name val="Arial"/>
      <family val="2"/>
      <scheme val="minor"/>
    </font>
    <font>
      <b/>
      <sz val="12"/>
      <color theme="1"/>
      <name val="Arial"/>
      <family val="2"/>
      <scheme val="minor"/>
    </font>
    <font>
      <i/>
      <sz val="10"/>
      <color theme="1"/>
      <name val="Arial"/>
      <family val="2"/>
      <scheme val="minor"/>
    </font>
    <font>
      <sz val="10"/>
      <color theme="1" tint="0.499984740745262"/>
      <name val="Arial"/>
      <family val="2"/>
      <scheme val="minor"/>
    </font>
    <font>
      <b/>
      <sz val="16"/>
      <color theme="9"/>
      <name val="Arial"/>
      <family val="2"/>
      <scheme val="minor"/>
    </font>
    <font>
      <b/>
      <sz val="16"/>
      <color theme="9"/>
      <name val="Arial Black"/>
      <family val="2"/>
      <scheme val="major"/>
    </font>
    <font>
      <sz val="11"/>
      <color theme="1"/>
      <name val="Arial Black"/>
      <family val="2"/>
      <scheme val="major"/>
    </font>
    <font>
      <b/>
      <sz val="40"/>
      <color theme="9"/>
      <name val="Arial Black"/>
      <family val="2"/>
      <scheme val="major"/>
    </font>
    <font>
      <sz val="11"/>
      <color rgb="FF1D2129"/>
      <name val="Arial"/>
      <family val="2"/>
      <scheme val="minor"/>
    </font>
    <font>
      <u/>
      <sz val="11"/>
      <color indexed="12"/>
      <name val="Arial"/>
      <family val="2"/>
      <scheme val="minor"/>
    </font>
    <font>
      <i/>
      <u/>
      <sz val="10"/>
      <color theme="1"/>
      <name val="Arial"/>
      <family val="2"/>
      <scheme val="minor"/>
    </font>
  </fonts>
  <fills count="13">
    <fill>
      <patternFill patternType="none"/>
    </fill>
    <fill>
      <patternFill patternType="gray125"/>
    </fill>
    <fill>
      <patternFill patternType="solid">
        <fgColor theme="0" tint="-4.9989318521683403E-2"/>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theme="6" tint="0.79998168889431442"/>
        <bgColor indexed="64"/>
      </patternFill>
    </fill>
    <fill>
      <patternFill patternType="solid">
        <fgColor theme="4" tint="0.59996337778862885"/>
        <bgColor indexed="64"/>
      </patternFill>
    </fill>
    <fill>
      <patternFill patternType="solid">
        <fgColor theme="5" tint="0.59996337778862885"/>
        <bgColor indexed="64"/>
      </patternFill>
    </fill>
    <fill>
      <patternFill patternType="solid">
        <fgColor theme="6" tint="0.59996337778862885"/>
        <bgColor indexed="64"/>
      </patternFill>
    </fill>
    <fill>
      <patternFill patternType="solid">
        <fgColor theme="8" tint="0.59996337778862885"/>
        <bgColor indexed="64"/>
      </patternFill>
    </fill>
    <fill>
      <patternFill patternType="solid">
        <fgColor theme="8" tint="0.79998168889431442"/>
        <bgColor indexed="64"/>
      </patternFill>
    </fill>
    <fill>
      <patternFill patternType="solid">
        <fgColor theme="0" tint="-4.9989318521683403E-2"/>
        <bgColor theme="4"/>
      </patternFill>
    </fill>
    <fill>
      <patternFill patternType="solid">
        <fgColor theme="0" tint="-0.14996795556505021"/>
        <bgColor indexed="64"/>
      </patternFill>
    </fill>
  </fills>
  <borders count="22">
    <border>
      <left/>
      <right/>
      <top/>
      <bottom/>
      <diagonal/>
    </border>
    <border>
      <left/>
      <right/>
      <top style="medium">
        <color theme="0" tint="-0.14996795556505021"/>
      </top>
      <bottom style="medium">
        <color theme="0" tint="-0.14996795556505021"/>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14993743705557422"/>
      </left>
      <right style="thin">
        <color theme="0" tint="-0.14993743705557422"/>
      </right>
      <top/>
      <bottom/>
      <diagonal/>
    </border>
    <border>
      <left style="thin">
        <color theme="0" tint="-4.9989318521683403E-2"/>
      </left>
      <right style="thin">
        <color theme="0" tint="-4.9989318521683403E-2"/>
      </right>
      <top style="thin">
        <color theme="0" tint="-4.9989318521683403E-2"/>
      </top>
      <bottom style="thin">
        <color theme="0" tint="-4.9989318521683403E-2"/>
      </bottom>
      <diagonal/>
    </border>
    <border>
      <left/>
      <right/>
      <top style="thin">
        <color theme="5" tint="0.59996337778862885"/>
      </top>
      <bottom style="thin">
        <color theme="5" tint="0.59996337778862885"/>
      </bottom>
      <diagonal/>
    </border>
    <border>
      <left/>
      <right/>
      <top/>
      <bottom style="thin">
        <color theme="4" tint="0.59996337778862885"/>
      </bottom>
      <diagonal/>
    </border>
    <border>
      <left/>
      <right/>
      <top style="thin">
        <color theme="4" tint="0.59996337778862885"/>
      </top>
      <bottom style="thin">
        <color theme="4" tint="0.59996337778862885"/>
      </bottom>
      <diagonal/>
    </border>
    <border>
      <left/>
      <right/>
      <top style="thin">
        <color theme="6" tint="0.59996337778862885"/>
      </top>
      <bottom style="thin">
        <color theme="6" tint="0.59996337778862885"/>
      </bottom>
      <diagonal/>
    </border>
    <border>
      <left/>
      <right/>
      <top style="thin">
        <color theme="8" tint="0.59996337778862885"/>
      </top>
      <bottom style="thin">
        <color theme="8" tint="0.59996337778862885"/>
      </bottom>
      <diagonal/>
    </border>
    <border>
      <left/>
      <right/>
      <top style="thin">
        <color theme="0" tint="-4.9989318521683403E-2"/>
      </top>
      <bottom style="thin">
        <color theme="0" tint="-4.9989318521683403E-2"/>
      </bottom>
      <diagonal/>
    </border>
    <border>
      <left/>
      <right/>
      <top/>
      <bottom style="thin">
        <color theme="0" tint="-4.9989318521683403E-2"/>
      </bottom>
      <diagonal/>
    </border>
    <border>
      <left/>
      <right/>
      <top style="thin">
        <color theme="0" tint="-4.9989318521683403E-2"/>
      </top>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1" tint="0.499984740745262"/>
      </left>
      <right style="thin">
        <color theme="1" tint="0.499984740745262"/>
      </right>
      <top style="thin">
        <color theme="1" tint="0.499984740745262"/>
      </top>
      <bottom/>
      <diagonal/>
    </border>
    <border>
      <left style="thin">
        <color theme="1" tint="0.499984740745262"/>
      </left>
      <right/>
      <top style="thin">
        <color theme="1" tint="0.499984740745262"/>
      </top>
      <bottom/>
      <diagonal/>
    </border>
    <border>
      <left/>
      <right/>
      <top style="thin">
        <color theme="1" tint="0.499984740745262"/>
      </top>
      <bottom/>
      <diagonal/>
    </border>
    <border>
      <left/>
      <right style="thin">
        <color theme="1" tint="0.499984740745262"/>
      </right>
      <top style="thin">
        <color theme="1" tint="0.499984740745262"/>
      </top>
      <bottom/>
      <diagonal/>
    </border>
    <border>
      <left/>
      <right style="thin">
        <color theme="1" tint="0.499984740745262"/>
      </right>
      <top style="thin">
        <color theme="1" tint="0.499984740745262"/>
      </top>
      <bottom style="thin">
        <color theme="1" tint="0.499984740745262"/>
      </bottom>
      <diagonal/>
    </border>
    <border>
      <left style="thin">
        <color theme="1" tint="0.499984740745262"/>
      </left>
      <right/>
      <top style="thin">
        <color theme="1" tint="0.499984740745262"/>
      </top>
      <bottom style="thin">
        <color theme="1" tint="0.499984740745262"/>
      </bottom>
      <diagonal/>
    </border>
    <border>
      <left/>
      <right/>
      <top style="thin">
        <color theme="1" tint="0.499984740745262"/>
      </top>
      <bottom style="thin">
        <color theme="1" tint="0.499984740745262"/>
      </bottom>
      <diagonal/>
    </border>
    <border>
      <left/>
      <right/>
      <top/>
      <bottom style="thin">
        <color theme="1" tint="0.499984740745262"/>
      </bottom>
      <diagonal/>
    </border>
  </borders>
  <cellStyleXfs count="13">
    <xf numFmtId="0" fontId="0" fillId="0" borderId="0"/>
    <xf numFmtId="0" fontId="2" fillId="0" borderId="0" applyNumberFormat="0" applyFill="0" applyBorder="0" applyAlignment="0" applyProtection="0">
      <alignment vertical="top"/>
      <protection locked="0"/>
    </xf>
    <xf numFmtId="9" fontId="4" fillId="0" borderId="0" applyFont="0" applyFill="0" applyBorder="0" applyAlignment="0" applyProtection="0"/>
    <xf numFmtId="0" fontId="13" fillId="0" borderId="0"/>
    <xf numFmtId="164" fontId="4" fillId="0" borderId="2" applyFont="0" applyFill="0" applyAlignment="0" applyProtection="0"/>
    <xf numFmtId="0" fontId="6" fillId="0" borderId="0" applyNumberFormat="0" applyFill="0" applyBorder="0" applyAlignment="0" applyProtection="0"/>
    <xf numFmtId="0" fontId="5" fillId="0" borderId="0" applyNumberFormat="0" applyFill="0" applyAlignment="0" applyProtection="0"/>
    <xf numFmtId="0" fontId="5" fillId="0" borderId="0" applyNumberFormat="0" applyFill="0" applyProtection="0">
      <alignment vertical="top"/>
    </xf>
    <xf numFmtId="0" fontId="4" fillId="0" borderId="0" applyNumberFormat="0" applyFill="0" applyProtection="0">
      <alignment horizontal="right" indent="1"/>
    </xf>
    <xf numFmtId="166" fontId="4" fillId="0" borderId="2">
      <alignment horizontal="center" vertical="center"/>
    </xf>
    <xf numFmtId="165" fontId="4" fillId="0" borderId="1" applyFill="0">
      <alignment horizontal="center" vertical="center"/>
    </xf>
    <xf numFmtId="0" fontId="4" fillId="0" borderId="1" applyFill="0">
      <alignment horizontal="center" vertical="center"/>
    </xf>
    <xf numFmtId="0" fontId="4" fillId="0" borderId="1" applyFill="0">
      <alignment horizontal="left" vertical="center" indent="2"/>
    </xf>
  </cellStyleXfs>
  <cellXfs count="123">
    <xf numFmtId="0" fontId="0" fillId="0" borderId="0" xfId="0"/>
    <xf numFmtId="0" fontId="1" fillId="0" borderId="0" xfId="0" applyFont="1"/>
    <xf numFmtId="0" fontId="0" fillId="0" borderId="0" xfId="0" applyAlignment="1">
      <alignment horizontal="center"/>
    </xf>
    <xf numFmtId="0" fontId="0" fillId="0" borderId="0" xfId="0" applyAlignment="1">
      <alignment horizontal="right" vertical="center"/>
    </xf>
    <xf numFmtId="0" fontId="8" fillId="0" borderId="0" xfId="1" applyFont="1" applyAlignment="1" applyProtection="1"/>
    <xf numFmtId="0" fontId="3" fillId="0" borderId="1" xfId="0" applyFont="1" applyBorder="1" applyAlignment="1">
      <alignment horizontal="center" vertical="center"/>
    </xf>
    <xf numFmtId="0" fontId="3" fillId="2" borderId="1" xfId="0" applyFont="1" applyFill="1" applyBorder="1" applyAlignment="1">
      <alignment horizontal="center" vertical="center"/>
    </xf>
    <xf numFmtId="0" fontId="1" fillId="0" borderId="0" xfId="0" applyFont="1" applyAlignment="1">
      <alignment vertical="top"/>
    </xf>
    <xf numFmtId="0" fontId="9" fillId="0" borderId="0" xfId="0" applyFont="1" applyAlignment="1">
      <alignment horizontal="left" vertical="center"/>
    </xf>
    <xf numFmtId="0" fontId="10" fillId="0" borderId="0" xfId="0" applyFont="1" applyAlignment="1">
      <alignment horizontal="left" vertical="center"/>
    </xf>
    <xf numFmtId="0" fontId="12" fillId="0" borderId="0" xfId="0" applyFont="1"/>
    <xf numFmtId="0" fontId="1" fillId="0" borderId="0" xfId="0" applyFont="1" applyAlignment="1">
      <alignment horizontal="left" vertical="top"/>
    </xf>
    <xf numFmtId="0" fontId="11" fillId="0" borderId="0" xfId="0" applyFont="1" applyAlignment="1">
      <alignment vertical="top"/>
    </xf>
    <xf numFmtId="0" fontId="13" fillId="0" borderId="0" xfId="3"/>
    <xf numFmtId="0" fontId="13" fillId="0" borderId="0" xfId="3" applyAlignment="1">
      <alignment wrapText="1"/>
    </xf>
    <xf numFmtId="0" fontId="13" fillId="0" borderId="0" xfId="0" applyFont="1" applyAlignment="1">
      <alignment horizontal="center"/>
    </xf>
    <xf numFmtId="0" fontId="7" fillId="0" borderId="0" xfId="0" applyFont="1"/>
    <xf numFmtId="0" fontId="3" fillId="0" borderId="0" xfId="0" applyFont="1" applyAlignment="1">
      <alignment horizontal="center" vertical="center"/>
    </xf>
    <xf numFmtId="0" fontId="15" fillId="0" borderId="0" xfId="0" applyFont="1"/>
    <xf numFmtId="0" fontId="14" fillId="0" borderId="0" xfId="0" applyFont="1"/>
    <xf numFmtId="0" fontId="14" fillId="0" borderId="0" xfId="0" applyFont="1" applyAlignment="1">
      <alignment horizontal="center"/>
    </xf>
    <xf numFmtId="0" fontId="14" fillId="0" borderId="0" xfId="0" applyFont="1" applyAlignment="1">
      <alignment horizontal="center" vertical="center"/>
    </xf>
    <xf numFmtId="0" fontId="16" fillId="0" borderId="0" xfId="0" applyFont="1"/>
    <xf numFmtId="0" fontId="16" fillId="0" borderId="0" xfId="0" applyFont="1" applyAlignment="1">
      <alignment horizontal="center"/>
    </xf>
    <xf numFmtId="0" fontId="17" fillId="0" borderId="0" xfId="0" applyFont="1"/>
    <xf numFmtId="0" fontId="18" fillId="0" borderId="0" xfId="0" applyFont="1" applyAlignment="1">
      <alignment horizontal="left" indent="1"/>
    </xf>
    <xf numFmtId="0" fontId="4" fillId="0" borderId="0" xfId="0" applyFont="1"/>
    <xf numFmtId="0" fontId="4" fillId="0" borderId="0" xfId="8">
      <alignment horizontal="right" indent="1"/>
    </xf>
    <xf numFmtId="0" fontId="4" fillId="0" borderId="0" xfId="0" applyFont="1" applyAlignment="1">
      <alignment horizontal="center"/>
    </xf>
    <xf numFmtId="0" fontId="1" fillId="0" borderId="0" xfId="1" applyFont="1" applyAlignment="1" applyProtection="1">
      <alignment horizontal="left" vertical="top" indent="1"/>
    </xf>
    <xf numFmtId="0" fontId="4" fillId="0" borderId="0" xfId="0" applyFont="1" applyAlignment="1">
      <alignment horizontal="left" indent="1"/>
    </xf>
    <xf numFmtId="168" fontId="21" fillId="12" borderId="20" xfId="0" applyNumberFormat="1" applyFont="1" applyFill="1" applyBorder="1" applyAlignment="1">
      <alignment horizontal="center" vertical="center"/>
    </xf>
    <xf numFmtId="168" fontId="21" fillId="12" borderId="18" xfId="0" applyNumberFormat="1" applyFont="1" applyFill="1" applyBorder="1" applyAlignment="1">
      <alignment horizontal="center" vertical="center"/>
    </xf>
    <xf numFmtId="168" fontId="21" fillId="12" borderId="19" xfId="0" applyNumberFormat="1" applyFont="1" applyFill="1" applyBorder="1" applyAlignment="1">
      <alignment horizontal="center" vertical="center"/>
    </xf>
    <xf numFmtId="0" fontId="22" fillId="2" borderId="17" xfId="0" applyFont="1" applyFill="1" applyBorder="1" applyAlignment="1">
      <alignment horizontal="center" vertical="center" shrinkToFit="1"/>
    </xf>
    <xf numFmtId="0" fontId="22" fillId="2" borderId="14" xfId="0" applyFont="1" applyFill="1" applyBorder="1" applyAlignment="1">
      <alignment horizontal="center" vertical="center" shrinkToFit="1"/>
    </xf>
    <xf numFmtId="0" fontId="22" fillId="2" borderId="15" xfId="0" applyFont="1" applyFill="1" applyBorder="1" applyAlignment="1">
      <alignment horizontal="center" vertical="center" shrinkToFit="1"/>
    </xf>
    <xf numFmtId="0" fontId="19" fillId="0" borderId="0" xfId="0" applyFont="1"/>
    <xf numFmtId="0" fontId="19" fillId="0" borderId="0" xfId="0" applyFont="1" applyAlignment="1">
      <alignment wrapText="1"/>
    </xf>
    <xf numFmtId="0" fontId="4" fillId="0" borderId="3" xfId="0" applyFont="1" applyBorder="1" applyAlignment="1">
      <alignment vertical="center"/>
    </xf>
    <xf numFmtId="0" fontId="23" fillId="6" borderId="0" xfId="0" applyFont="1" applyFill="1" applyAlignment="1">
      <alignment horizontal="left" vertical="center" indent="1"/>
    </xf>
    <xf numFmtId="0" fontId="19" fillId="6" borderId="0" xfId="11" applyFont="1" applyFill="1" applyBorder="1" applyAlignment="1">
      <alignment vertical="center"/>
    </xf>
    <xf numFmtId="9" fontId="1" fillId="6" borderId="0" xfId="2" applyFont="1" applyFill="1" applyBorder="1" applyAlignment="1">
      <alignment horizontal="center" vertical="center"/>
    </xf>
    <xf numFmtId="165" fontId="19" fillId="6" borderId="0" xfId="0" applyNumberFormat="1" applyFont="1" applyFill="1" applyAlignment="1">
      <alignment horizontal="center" vertical="center"/>
    </xf>
    <xf numFmtId="165" fontId="1" fillId="6" borderId="0" xfId="0" applyNumberFormat="1" applyFont="1" applyFill="1" applyAlignment="1">
      <alignment horizontal="center" vertical="center"/>
    </xf>
    <xf numFmtId="0" fontId="4" fillId="0" borderId="12" xfId="0" applyFont="1" applyBorder="1" applyAlignment="1">
      <alignment vertical="center"/>
    </xf>
    <xf numFmtId="0" fontId="4" fillId="0" borderId="0" xfId="0" applyFont="1" applyAlignment="1">
      <alignment vertical="center"/>
    </xf>
    <xf numFmtId="0" fontId="19" fillId="3" borderId="6" xfId="12" applyFont="1" applyFill="1" applyBorder="1">
      <alignment horizontal="left" vertical="center" indent="2"/>
    </xf>
    <xf numFmtId="0" fontId="19" fillId="3" borderId="6" xfId="11" applyFont="1" applyFill="1" applyBorder="1" applyAlignment="1">
      <alignment vertical="center"/>
    </xf>
    <xf numFmtId="9" fontId="1" fillId="3" borderId="6" xfId="2" applyFont="1" applyFill="1" applyBorder="1" applyAlignment="1">
      <alignment horizontal="center" vertical="center"/>
    </xf>
    <xf numFmtId="0" fontId="4" fillId="0" borderId="4" xfId="0" applyFont="1" applyBorder="1" applyAlignment="1">
      <alignment vertical="center"/>
    </xf>
    <xf numFmtId="0" fontId="19" fillId="3" borderId="7" xfId="12" applyFont="1" applyFill="1" applyBorder="1">
      <alignment horizontal="left" vertical="center" indent="2"/>
    </xf>
    <xf numFmtId="9" fontId="1" fillId="3" borderId="7" xfId="2" applyFont="1" applyFill="1" applyBorder="1" applyAlignment="1">
      <alignment horizontal="center" vertical="center"/>
    </xf>
    <xf numFmtId="0" fontId="4" fillId="0" borderId="4" xfId="0" applyFont="1" applyBorder="1" applyAlignment="1">
      <alignment horizontal="right" vertical="center"/>
    </xf>
    <xf numFmtId="0" fontId="23" fillId="7" borderId="0" xfId="0" applyFont="1" applyFill="1" applyAlignment="1">
      <alignment horizontal="left" vertical="center" indent="1"/>
    </xf>
    <xf numFmtId="0" fontId="19" fillId="7" borderId="0" xfId="11" applyFont="1" applyFill="1" applyBorder="1" applyAlignment="1">
      <alignment vertical="center"/>
    </xf>
    <xf numFmtId="9" fontId="1" fillId="7" borderId="0" xfId="2" applyFont="1" applyFill="1" applyBorder="1" applyAlignment="1">
      <alignment horizontal="center" vertical="center"/>
    </xf>
    <xf numFmtId="0" fontId="19" fillId="4" borderId="5" xfId="12" applyFont="1" applyFill="1" applyBorder="1">
      <alignment horizontal="left" vertical="center" indent="2"/>
    </xf>
    <xf numFmtId="0" fontId="19" fillId="4" borderId="5" xfId="11" applyFont="1" applyFill="1" applyBorder="1" applyAlignment="1">
      <alignment vertical="center"/>
    </xf>
    <xf numFmtId="9" fontId="1" fillId="4" borderId="5" xfId="2" applyFont="1" applyFill="1" applyBorder="1" applyAlignment="1">
      <alignment horizontal="center" vertical="center"/>
    </xf>
    <xf numFmtId="0" fontId="23" fillId="8" borderId="0" xfId="0" applyFont="1" applyFill="1" applyAlignment="1">
      <alignment horizontal="left" vertical="center" indent="1"/>
    </xf>
    <xf numFmtId="0" fontId="19" fillId="8" borderId="0" xfId="11" applyFont="1" applyFill="1" applyBorder="1" applyAlignment="1">
      <alignment vertical="center"/>
    </xf>
    <xf numFmtId="9" fontId="1" fillId="8" borderId="0" xfId="2" applyFont="1" applyFill="1" applyBorder="1" applyAlignment="1">
      <alignment horizontal="center" vertical="center"/>
    </xf>
    <xf numFmtId="0" fontId="4" fillId="0" borderId="11" xfId="0" applyFont="1" applyBorder="1" applyAlignment="1">
      <alignment vertical="center"/>
    </xf>
    <xf numFmtId="0" fontId="19" fillId="5" borderId="8" xfId="12" applyFont="1" applyFill="1" applyBorder="1">
      <alignment horizontal="left" vertical="center" indent="2"/>
    </xf>
    <xf numFmtId="0" fontId="19" fillId="5" borderId="8" xfId="11" applyFont="1" applyFill="1" applyBorder="1" applyAlignment="1">
      <alignment vertical="center"/>
    </xf>
    <xf numFmtId="9" fontId="1" fillId="5" borderId="8" xfId="2" applyFont="1" applyFill="1" applyBorder="1" applyAlignment="1">
      <alignment horizontal="center" vertical="center"/>
    </xf>
    <xf numFmtId="0" fontId="23" fillId="9" borderId="0" xfId="0" applyFont="1" applyFill="1" applyAlignment="1">
      <alignment horizontal="left" vertical="center" indent="1"/>
    </xf>
    <xf numFmtId="0" fontId="19" fillId="9" borderId="0" xfId="11" applyFont="1" applyFill="1" applyBorder="1" applyAlignment="1">
      <alignment vertical="center"/>
    </xf>
    <xf numFmtId="9" fontId="1" fillId="9" borderId="0" xfId="2" applyFont="1" applyFill="1" applyBorder="1" applyAlignment="1">
      <alignment horizontal="center" vertical="center"/>
    </xf>
    <xf numFmtId="0" fontId="4" fillId="0" borderId="10" xfId="0" applyFont="1" applyBorder="1" applyAlignment="1">
      <alignment vertical="center"/>
    </xf>
    <xf numFmtId="0" fontId="19" fillId="10" borderId="9" xfId="12" applyFont="1" applyFill="1" applyBorder="1">
      <alignment horizontal="left" vertical="center" indent="2"/>
    </xf>
    <xf numFmtId="0" fontId="19" fillId="10" borderId="9" xfId="11" applyFont="1" applyFill="1" applyBorder="1" applyAlignment="1">
      <alignment vertical="center"/>
    </xf>
    <xf numFmtId="9" fontId="1" fillId="10" borderId="9" xfId="2" applyFont="1" applyFill="1" applyBorder="1" applyAlignment="1">
      <alignment horizontal="center" vertical="center"/>
    </xf>
    <xf numFmtId="0" fontId="19" fillId="0" borderId="0" xfId="12" applyFont="1" applyBorder="1">
      <alignment horizontal="left" vertical="center" indent="2"/>
    </xf>
    <xf numFmtId="0" fontId="19" fillId="0" borderId="0" xfId="11" applyFont="1" applyBorder="1" applyAlignment="1">
      <alignment vertical="center"/>
    </xf>
    <xf numFmtId="9" fontId="1" fillId="0" borderId="0" xfId="2" applyFont="1" applyBorder="1" applyAlignment="1">
      <alignment horizontal="center" vertical="center"/>
    </xf>
    <xf numFmtId="165" fontId="19" fillId="0" borderId="0" xfId="10" applyFont="1" applyBorder="1">
      <alignment horizontal="center" vertical="center"/>
    </xf>
    <xf numFmtId="0" fontId="24" fillId="2" borderId="0" xfId="0" applyFont="1" applyFill="1" applyAlignment="1">
      <alignment horizontal="left" vertical="center" indent="1"/>
    </xf>
    <xf numFmtId="0" fontId="24" fillId="2" borderId="0" xfId="0" applyFont="1" applyFill="1" applyAlignment="1">
      <alignment vertical="center"/>
    </xf>
    <xf numFmtId="9" fontId="1" fillId="2" borderId="0" xfId="2" applyFont="1" applyFill="1" applyBorder="1" applyAlignment="1">
      <alignment horizontal="center" vertical="center"/>
    </xf>
    <xf numFmtId="165" fontId="25" fillId="2" borderId="0" xfId="0" applyNumberFormat="1" applyFont="1" applyFill="1" applyAlignment="1">
      <alignment horizontal="left" vertical="center"/>
    </xf>
    <xf numFmtId="165" fontId="1" fillId="2" borderId="0" xfId="0" applyNumberFormat="1" applyFont="1" applyFill="1" applyAlignment="1">
      <alignment horizontal="center" vertical="center"/>
    </xf>
    <xf numFmtId="0" fontId="4" fillId="2" borderId="0" xfId="0" applyFont="1" applyFill="1" applyAlignment="1">
      <alignment vertical="center"/>
    </xf>
    <xf numFmtId="0" fontId="26" fillId="0" borderId="0" xfId="6" applyFont="1" applyAlignment="1">
      <alignment horizontal="left" vertical="center" indent="1"/>
    </xf>
    <xf numFmtId="0" fontId="26" fillId="0" borderId="0" xfId="7" applyFont="1" applyAlignment="1">
      <alignment horizontal="left" vertical="center" indent="1"/>
    </xf>
    <xf numFmtId="0" fontId="29" fillId="0" borderId="0" xfId="5" applyFont="1" applyAlignment="1">
      <alignment horizontal="left"/>
    </xf>
    <xf numFmtId="0" fontId="9" fillId="0" borderId="0" xfId="0" applyFont="1" applyAlignment="1">
      <alignment horizontal="left" vertical="center" indent="1"/>
    </xf>
    <xf numFmtId="0" fontId="3" fillId="0" borderId="0" xfId="0" applyFont="1" applyAlignment="1">
      <alignment horizontal="left" vertical="top" indent="1"/>
    </xf>
    <xf numFmtId="0" fontId="26" fillId="0" borderId="0" xfId="0" applyFont="1" applyAlignment="1">
      <alignment horizontal="left" vertical="center" indent="1"/>
    </xf>
    <xf numFmtId="0" fontId="30" fillId="0" borderId="0" xfId="0" applyFont="1" applyAlignment="1">
      <alignment horizontal="left" vertical="top" wrapText="1" indent="1"/>
    </xf>
    <xf numFmtId="0" fontId="0" fillId="0" borderId="0" xfId="0" applyAlignment="1">
      <alignment horizontal="left" vertical="top" wrapText="1" indent="1"/>
    </xf>
    <xf numFmtId="0" fontId="31" fillId="0" borderId="0" xfId="1" applyFont="1" applyAlignment="1" applyProtection="1">
      <alignment horizontal="left" vertical="top" indent="1"/>
    </xf>
    <xf numFmtId="0" fontId="1" fillId="0" borderId="0" xfId="0" applyFont="1" applyAlignment="1">
      <alignment horizontal="left" vertical="top" indent="1"/>
    </xf>
    <xf numFmtId="170" fontId="19" fillId="3" borderId="6" xfId="10" applyNumberFormat="1" applyFont="1" applyFill="1" applyBorder="1">
      <alignment horizontal="center" vertical="center"/>
    </xf>
    <xf numFmtId="170" fontId="19" fillId="3" borderId="7" xfId="10" applyNumberFormat="1" applyFont="1" applyFill="1" applyBorder="1">
      <alignment horizontal="center" vertical="center"/>
    </xf>
    <xf numFmtId="170" fontId="19" fillId="7" borderId="0" xfId="0" applyNumberFormat="1" applyFont="1" applyFill="1" applyAlignment="1">
      <alignment horizontal="center" vertical="center"/>
    </xf>
    <xf numFmtId="170" fontId="1" fillId="7" borderId="0" xfId="0" applyNumberFormat="1" applyFont="1" applyFill="1" applyAlignment="1">
      <alignment horizontal="center" vertical="center"/>
    </xf>
    <xf numFmtId="170" fontId="19" fillId="4" borderId="5" xfId="10" applyNumberFormat="1" applyFont="1" applyFill="1" applyBorder="1">
      <alignment horizontal="center" vertical="center"/>
    </xf>
    <xf numFmtId="170" fontId="19" fillId="8" borderId="0" xfId="0" applyNumberFormat="1" applyFont="1" applyFill="1" applyAlignment="1">
      <alignment horizontal="center" vertical="center"/>
    </xf>
    <xf numFmtId="170" fontId="1" fillId="8" borderId="0" xfId="0" applyNumberFormat="1" applyFont="1" applyFill="1" applyAlignment="1">
      <alignment horizontal="center" vertical="center"/>
    </xf>
    <xf numFmtId="170" fontId="19" fillId="5" borderId="8" xfId="10" applyNumberFormat="1" applyFont="1" applyFill="1" applyBorder="1">
      <alignment horizontal="center" vertical="center"/>
    </xf>
    <xf numFmtId="170" fontId="19" fillId="9" borderId="0" xfId="0" applyNumberFormat="1" applyFont="1" applyFill="1" applyAlignment="1">
      <alignment horizontal="center" vertical="center"/>
    </xf>
    <xf numFmtId="170" fontId="1" fillId="9" borderId="0" xfId="0" applyNumberFormat="1" applyFont="1" applyFill="1" applyAlignment="1">
      <alignment horizontal="center" vertical="center"/>
    </xf>
    <xf numFmtId="170" fontId="19" fillId="10" borderId="9" xfId="10" applyNumberFormat="1" applyFont="1" applyFill="1" applyBorder="1">
      <alignment horizontal="center" vertical="center"/>
    </xf>
    <xf numFmtId="0" fontId="32" fillId="3" borderId="7" xfId="12" applyFont="1" applyFill="1" applyBorder="1">
      <alignment horizontal="left" vertical="center" indent="2"/>
    </xf>
    <xf numFmtId="0" fontId="32" fillId="5" borderId="8" xfId="12" applyFont="1" applyFill="1" applyBorder="1">
      <alignment horizontal="left" vertical="center" indent="2"/>
    </xf>
    <xf numFmtId="0" fontId="32" fillId="10" borderId="9" xfId="12" applyFont="1" applyFill="1" applyBorder="1">
      <alignment horizontal="left" vertical="center" indent="2"/>
    </xf>
    <xf numFmtId="0" fontId="32" fillId="4" borderId="5" xfId="12" applyFont="1" applyFill="1" applyBorder="1">
      <alignment horizontal="left" vertical="center" indent="2"/>
    </xf>
    <xf numFmtId="0" fontId="13" fillId="0" borderId="0" xfId="3" applyAlignment="1">
      <alignment wrapText="1"/>
    </xf>
    <xf numFmtId="0" fontId="20" fillId="11" borderId="16" xfId="0" applyFont="1" applyFill="1" applyBorder="1" applyAlignment="1">
      <alignment horizontal="left" vertical="center" indent="1"/>
    </xf>
    <xf numFmtId="0" fontId="4" fillId="2" borderId="21" xfId="0" applyFont="1" applyFill="1" applyBorder="1" applyAlignment="1">
      <alignment horizontal="left" indent="1"/>
    </xf>
    <xf numFmtId="0" fontId="20" fillId="11" borderId="16" xfId="0" applyFont="1" applyFill="1" applyBorder="1" applyAlignment="1">
      <alignment vertical="center"/>
    </xf>
    <xf numFmtId="0" fontId="4" fillId="2" borderId="21" xfId="0" applyFont="1" applyFill="1" applyBorder="1"/>
    <xf numFmtId="0" fontId="20" fillId="11" borderId="16" xfId="0" applyFont="1" applyFill="1" applyBorder="1" applyAlignment="1">
      <alignment horizontal="center" vertical="center"/>
    </xf>
    <xf numFmtId="167" fontId="19" fillId="2" borderId="13" xfId="0" applyNumberFormat="1" applyFont="1" applyFill="1" applyBorder="1" applyAlignment="1">
      <alignment horizontal="center" vertical="center" wrapText="1"/>
    </xf>
    <xf numFmtId="0" fontId="27" fillId="0" borderId="0" xfId="0" applyFont="1" applyAlignment="1">
      <alignment horizontal="left"/>
    </xf>
    <xf numFmtId="0" fontId="28" fillId="0" borderId="0" xfId="0" applyFont="1"/>
    <xf numFmtId="0" fontId="26" fillId="0" borderId="0" xfId="8" applyFont="1" applyAlignment="1">
      <alignment horizontal="left"/>
    </xf>
    <xf numFmtId="0" fontId="4" fillId="0" borderId="0" xfId="0" applyFont="1"/>
    <xf numFmtId="169" fontId="27" fillId="0" borderId="0" xfId="9" applyNumberFormat="1" applyFont="1" applyBorder="1" applyAlignment="1">
      <alignment horizontal="left"/>
    </xf>
    <xf numFmtId="167" fontId="19" fillId="2" borderId="18" xfId="0" applyNumberFormat="1" applyFont="1" applyFill="1" applyBorder="1" applyAlignment="1">
      <alignment horizontal="center" vertical="center" wrapText="1"/>
    </xf>
    <xf numFmtId="167" fontId="19" fillId="2" borderId="19" xfId="0" applyNumberFormat="1" applyFont="1" applyFill="1" applyBorder="1" applyAlignment="1">
      <alignment horizontal="center" vertical="center" wrapText="1"/>
    </xf>
  </cellXfs>
  <cellStyles count="13">
    <cellStyle name="Comma" xfId="4" builtinId="3" customBuiltin="1"/>
    <cellStyle name="Date" xfId="10" xr:uid="{229918B6-DD13-4F5A-97B9-305F7E002AA3}"/>
    <cellStyle name="Heading 1" xfId="6" builtinId="16" customBuiltin="1"/>
    <cellStyle name="Heading 2" xfId="7" builtinId="17" customBuiltin="1"/>
    <cellStyle name="Heading 3" xfId="8" builtinId="18" customBuiltin="1"/>
    <cellStyle name="Hyperlink" xfId="1" builtinId="8" customBuiltin="1"/>
    <cellStyle name="Name" xfId="11" xr:uid="{B2D3C1EE-6B41-4801-AAFC-C2274E49E503}"/>
    <cellStyle name="Normal" xfId="0" builtinId="0"/>
    <cellStyle name="Percent" xfId="2" builtinId="5"/>
    <cellStyle name="Project Start" xfId="9" xr:uid="{8EB8A09A-C31C-40A3-B2C1-9449520178B8}"/>
    <cellStyle name="Task" xfId="12" xr:uid="{6391D789-272B-4DD2-9BF3-2CDCF610FA41}"/>
    <cellStyle name="Title" xfId="5" builtinId="15" customBuiltin="1"/>
    <cellStyle name="zHiddenText" xfId="3" xr:uid="{26E66EE6-E33F-4D77-BAE4-0FB4F5BBF673}"/>
  </cellStyles>
  <dxfs count="24">
    <dxf>
      <fill>
        <patternFill>
          <bgColor theme="8"/>
        </patternFill>
      </fill>
      <border>
        <left/>
        <right/>
      </border>
    </dxf>
    <dxf>
      <fill>
        <patternFill>
          <bgColor theme="8" tint="0.59996337778862885"/>
        </patternFill>
      </fill>
      <border>
        <left/>
        <right/>
      </border>
    </dxf>
    <dxf>
      <fill>
        <patternFill>
          <bgColor theme="6" tint="0.39994506668294322"/>
        </patternFill>
      </fill>
      <border>
        <left/>
        <right/>
        <top style="thin">
          <color theme="0" tint="-4.9989318521683403E-2"/>
        </top>
        <bottom style="thin">
          <color theme="0" tint="-4.9989318521683403E-2"/>
        </bottom>
      </border>
    </dxf>
    <dxf>
      <fill>
        <patternFill>
          <bgColor theme="5" tint="0.39994506668294322"/>
        </patternFill>
      </fill>
      <border>
        <left/>
        <right/>
        <top style="thin">
          <color theme="0" tint="-4.9989318521683403E-2"/>
        </top>
        <bottom style="thin">
          <color theme="0" tint="-4.9989318521683403E-2"/>
        </bottom>
      </border>
    </dxf>
    <dxf>
      <fill>
        <patternFill>
          <bgColor theme="4" tint="0.39994506668294322"/>
        </patternFill>
      </fill>
      <border>
        <left/>
        <right/>
        <top style="thin">
          <color theme="0" tint="-4.9989318521683403E-2"/>
        </top>
        <bottom style="thin">
          <color theme="0" tint="-4.9989318521683403E-2"/>
        </bottom>
      </border>
    </dxf>
    <dxf>
      <border>
        <left style="thin">
          <color theme="5"/>
        </left>
        <right style="thin">
          <color theme="5"/>
        </right>
        <vertical/>
        <horizontal/>
      </border>
    </dxf>
    <dxf>
      <fill>
        <patternFill>
          <bgColor theme="6" tint="0.79998168889431442"/>
        </patternFill>
      </fill>
      <border>
        <top style="thin">
          <color theme="0" tint="-4.9989318521683403E-2"/>
        </top>
        <bottom style="thin">
          <color theme="0" tint="-4.9989318521683403E-2"/>
        </bottom>
      </border>
    </dxf>
    <dxf>
      <fill>
        <patternFill>
          <bgColor theme="5" tint="0.79998168889431442"/>
        </patternFill>
      </fill>
    </dxf>
    <dxf>
      <fill>
        <patternFill>
          <bgColor theme="4" tint="0.79998168889431442"/>
        </patternFill>
      </fill>
      <border>
        <top style="thin">
          <color theme="0" tint="-4.9989318521683403E-2"/>
        </top>
        <bottom style="thin">
          <color theme="0" tint="-4.9989318521683403E-2"/>
        </bottom>
      </border>
    </dxf>
    <dxf>
      <fill>
        <patternFill>
          <bgColor theme="8"/>
        </patternFill>
      </fill>
      <border>
        <left/>
        <right/>
      </border>
    </dxf>
    <dxf>
      <fill>
        <patternFill>
          <bgColor theme="8" tint="0.59996337778862885"/>
        </patternFill>
      </fill>
      <border>
        <left/>
        <right/>
      </border>
    </dxf>
    <dxf>
      <fill>
        <patternFill>
          <bgColor theme="6" tint="0.39994506668294322"/>
        </patternFill>
      </fill>
      <border>
        <left/>
        <right/>
        <top style="thin">
          <color theme="0" tint="-4.9989318521683403E-2"/>
        </top>
        <bottom style="thin">
          <color theme="0" tint="-4.9989318521683403E-2"/>
        </bottom>
      </border>
    </dxf>
    <dxf>
      <fill>
        <patternFill>
          <bgColor theme="5" tint="0.39994506668294322"/>
        </patternFill>
      </fill>
      <border>
        <left/>
        <right/>
        <top style="thin">
          <color theme="0" tint="-4.9989318521683403E-2"/>
        </top>
        <bottom style="thin">
          <color theme="0" tint="-4.9989318521683403E-2"/>
        </bottom>
      </border>
    </dxf>
    <dxf>
      <fill>
        <patternFill>
          <bgColor theme="4" tint="0.39994506668294322"/>
        </patternFill>
      </fill>
      <border>
        <left/>
        <right/>
        <top style="thin">
          <color theme="0" tint="-4.9989318521683403E-2"/>
        </top>
        <bottom style="thin">
          <color theme="0" tint="-4.9989318521683403E-2"/>
        </bottom>
      </border>
    </dxf>
    <dxf>
      <border>
        <left style="thin">
          <color theme="5"/>
        </left>
        <right style="thin">
          <color theme="5"/>
        </right>
        <vertical/>
        <horizontal/>
      </border>
    </dxf>
    <dxf>
      <border>
        <left style="thin">
          <color theme="0" tint="-0.24994659260841701"/>
        </left>
      </border>
    </dxf>
    <dxf>
      <border>
        <left style="thin">
          <color theme="0" tint="-0.24994659260841701"/>
        </left>
      </border>
    </dxf>
    <dxf>
      <border>
        <top style="thin">
          <color theme="4" tint="0.39994506668294322"/>
        </top>
      </border>
    </dxf>
    <dxf>
      <fill>
        <patternFill>
          <bgColor theme="0" tint="-4.9989318521683403E-2"/>
        </patternFill>
      </fill>
      <border>
        <top style="thin">
          <color theme="4" tint="0.39994506668294322"/>
        </top>
      </border>
    </dxf>
    <dxf>
      <font>
        <b/>
        <color theme="1"/>
      </font>
    </dxf>
    <dxf>
      <font>
        <b val="0"/>
        <i val="0"/>
        <color theme="1"/>
      </font>
      <border>
        <left style="thin">
          <color theme="4"/>
        </left>
      </border>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border>
    </dxf>
  </dxfs>
  <tableStyles count="1" defaultTableStyle="TableStyleMedium2" defaultPivotStyle="PivotStyleLight16">
    <tableStyle name="ToDoList" pivot="0" count="9" xr9:uid="{00000000-0011-0000-FFFF-FFFF00000000}">
      <tableStyleElement type="wholeTable" dxfId="23"/>
      <tableStyleElement type="headerRow" dxfId="22"/>
      <tableStyleElement type="totalRow" dxfId="21"/>
      <tableStyleElement type="firstColumn" dxfId="20"/>
      <tableStyleElement type="lastColumn" dxfId="19"/>
      <tableStyleElement type="firstRowStripe" dxfId="18"/>
      <tableStyleElement type="secondRowStripe" dxfId="17"/>
      <tableStyleElement type="firstColumnStripe" dxfId="16"/>
      <tableStyleElement type="secondColumnStripe" dxfId="15"/>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5FF25F"/>
      <rgbColor rgb="000000FF"/>
      <rgbColor rgb="00FFFF00"/>
      <rgbColor rgb="00DE3018"/>
      <rgbColor rgb="0053D4C9"/>
      <rgbColor rgb="006B0C00"/>
      <rgbColor rgb="00006500"/>
      <rgbColor rgb="00182C63"/>
      <rgbColor rgb="00819C00"/>
      <rgbColor rgb="00C9B783"/>
      <rgbColor rgb="00007F74"/>
      <rgbColor rgb="00F0F0F0"/>
      <rgbColor rgb="00666666"/>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799FC4"/>
      <rgbColor rgb="00C1F1ED"/>
      <rgbColor rgb="00D6F4D9"/>
      <rgbColor rgb="00FFFFCC"/>
      <rgbColor rgb="00C9DAFB"/>
      <rgbColor rgb="00FAC8D7"/>
      <rgbColor rgb="00F3F0E4"/>
      <rgbColor rgb="00E4E8F3"/>
      <rgbColor rgb="001849B5"/>
      <rgbColor rgb="0036ACA2"/>
      <rgbColor rgb="00F0BA00"/>
      <rgbColor rgb="00BCC5E1"/>
      <rgbColor rgb="008394C9"/>
      <rgbColor rgb="003B4E87"/>
      <rgbColor rgb="0087743B"/>
      <rgbColor rgb="00C0C0C0"/>
      <rgbColor rgb="00003366"/>
      <rgbColor rgb="00109618"/>
      <rgbColor rgb="00085108"/>
      <rgbColor rgb="00635100"/>
      <rgbColor rgb="00273359"/>
      <rgbColor rgb="00E1D8BC"/>
      <rgbColor rgb="00594C27"/>
      <rgbColor rgb="00333333"/>
    </indexedColors>
    <mruColors>
      <color rgb="FF215881"/>
      <color rgb="FF42648A"/>
      <color rgb="FF969696"/>
      <color rgb="FFC0C0C0"/>
      <color rgb="FF427FC2"/>
      <color rgb="FF44678E"/>
      <color rgb="FF4A6F9C"/>
      <color rgb="FF3969AD"/>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https://www.vertex42.com/ExcelTemplates/simple-gantt-chart.html?utm_source=ms&amp;utm_medium=file&amp;utm_campaign=office&amp;utm_content=logo" TargetMode="Externa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95250</xdr:rowOff>
    </xdr:from>
    <xdr:to>
      <xdr:col>0</xdr:col>
      <xdr:colOff>1905000</xdr:colOff>
      <xdr:row>0</xdr:row>
      <xdr:rowOff>523875</xdr:rowOff>
    </xdr:to>
    <xdr:pic>
      <xdr:nvPicPr>
        <xdr:cNvPr id="2" name="Picture 1" descr="Vertex42 logo">
          <a:hlinkClick xmlns:r="http://schemas.openxmlformats.org/officeDocument/2006/relationships" r:id="rId1"/>
          <a:extLst>
            <a:ext uri="{FF2B5EF4-FFF2-40B4-BE49-F238E27FC236}">
              <a16:creationId xmlns:a16="http://schemas.microsoft.com/office/drawing/2014/main" id="{F8638EF3-2DAE-40BC-A45A-2B8C536FAB0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0500" y="95250"/>
          <a:ext cx="1905000" cy="428625"/>
        </a:xfrm>
        <a:prstGeom prst="rect">
          <a:avLst/>
        </a:prstGeom>
      </xdr:spPr>
    </xdr:pic>
    <xdr:clientData/>
  </xdr:twoCellAnchor>
</xdr:wsDr>
</file>

<file path=xl/theme/theme1.xml><?xml version="1.0" encoding="utf-8"?>
<a:theme xmlns:a="http://schemas.openxmlformats.org/drawingml/2006/main" name="Office Theme">
  <a:themeElements>
    <a:clrScheme name="TM16400962">
      <a:dk1>
        <a:srgbClr val="000000"/>
      </a:dk1>
      <a:lt1>
        <a:srgbClr val="FFFFFF"/>
      </a:lt1>
      <a:dk2>
        <a:srgbClr val="0E2841"/>
      </a:dk2>
      <a:lt2>
        <a:srgbClr val="E8E8E8"/>
      </a:lt2>
      <a:accent1>
        <a:srgbClr val="6528F7"/>
      </a:accent1>
      <a:accent2>
        <a:srgbClr val="D800A6"/>
      </a:accent2>
      <a:accent3>
        <a:srgbClr val="7ECA9C"/>
      </a:accent3>
      <a:accent4>
        <a:srgbClr val="00ABB3"/>
      </a:accent4>
      <a:accent5>
        <a:srgbClr val="FFE227"/>
      </a:accent5>
      <a:accent6>
        <a:srgbClr val="1363DF"/>
      </a:accent6>
      <a:hlink>
        <a:srgbClr val="467886"/>
      </a:hlink>
      <a:folHlink>
        <a:srgbClr val="96607D"/>
      </a:folHlink>
    </a:clrScheme>
    <a:fontScheme name="Custom 32">
      <a:majorFont>
        <a:latin typeface="Arial Black"/>
        <a:ea typeface=""/>
        <a:cs typeface=""/>
      </a:majorFont>
      <a:minorFont>
        <a:latin typeface="Arial"/>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vertex42.com/ExcelTemplates/simple-gantt-chart.html?utm_source=ms&amp;utm_medium=file&amp;utm_campaign=office&amp;utm_content=text" TargetMode="External"/><Relationship Id="rId1" Type="http://schemas.openxmlformats.org/officeDocument/2006/relationships/hyperlink" Target="https://www.vertex42.com/ExcelTemplates/simple-gantt-chart.html?utm_source=ms&amp;utm_medium=file&amp;utm_campaign=office&amp;utm_content=url"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https://www.vertex42.com/ExcelTemplates/simple-gantt-chart.html?utm_source=ms&amp;utm_medium=file&amp;utm_campaign=office&amp;utm_content=text" TargetMode="External"/><Relationship Id="rId2" Type="http://schemas.openxmlformats.org/officeDocument/2006/relationships/hyperlink" Target="https://www.vertex42.com/ExcelTemplates/simple-gantt-chart.html?utm_source=ms&amp;utm_medium=file&amp;utm_campaign=office&amp;utm_content=help" TargetMode="External"/><Relationship Id="rId1" Type="http://schemas.openxmlformats.org/officeDocument/2006/relationships/hyperlink" Target="https://www.vertex42.com/ExcelTemplates/excel-project-management.html?utm_source=ms&amp;utm_medium=file&amp;utm_campaign=office&amp;utm_content=text" TargetMode="External"/><Relationship Id="rId5" Type="http://schemas.openxmlformats.org/officeDocument/2006/relationships/drawing" Target="../drawings/drawing1.xml"/><Relationship Id="rId4"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DW37"/>
  <sheetViews>
    <sheetView tabSelected="1" showRuler="0" topLeftCell="A15" zoomScale="97" zoomScaleNormal="56" zoomScalePageLayoutView="70" workbookViewId="0">
      <selection activeCell="D33" sqref="D33"/>
    </sheetView>
  </sheetViews>
  <sheetFormatPr defaultColWidth="8.75" defaultRowHeight="30" customHeight="1" x14ac:dyDescent="0.2"/>
  <cols>
    <col min="1" max="1" width="2.75" style="13" customWidth="1"/>
    <col min="2" max="2" width="24.5" customWidth="1"/>
    <col min="3" max="3" width="16.75" customWidth="1"/>
    <col min="4" max="4" width="10.75" customWidth="1"/>
    <col min="5" max="5" width="10.75" style="2" customWidth="1"/>
    <col min="6" max="6" width="10.75" customWidth="1"/>
    <col min="7" max="7" width="2.75" customWidth="1"/>
    <col min="8" max="8" width="6" hidden="1" customWidth="1"/>
    <col min="9" max="127" width="2.75" customWidth="1"/>
  </cols>
  <sheetData>
    <row r="1" spans="1:127" ht="90" customHeight="1" x14ac:dyDescent="1.1000000000000001">
      <c r="A1" s="14"/>
      <c r="B1" s="86" t="s">
        <v>30</v>
      </c>
      <c r="C1" s="18"/>
      <c r="D1" s="19"/>
      <c r="E1" s="20"/>
      <c r="F1" s="21"/>
      <c r="H1" s="1"/>
      <c r="I1" s="118" t="s">
        <v>21</v>
      </c>
      <c r="J1" s="119"/>
      <c r="K1" s="119"/>
      <c r="L1" s="119"/>
      <c r="M1" s="119"/>
      <c r="N1" s="119"/>
      <c r="O1" s="119"/>
      <c r="P1" s="24"/>
      <c r="Q1" s="120">
        <v>46111</v>
      </c>
      <c r="R1" s="120"/>
      <c r="S1" s="120"/>
      <c r="T1" s="120"/>
      <c r="U1" s="120"/>
      <c r="V1" s="120"/>
      <c r="W1" s="120"/>
      <c r="X1" s="120"/>
      <c r="Y1" s="120"/>
      <c r="Z1" s="120"/>
      <c r="AA1" s="120"/>
      <c r="AB1" s="120"/>
      <c r="AC1" s="120"/>
      <c r="AD1" s="120"/>
      <c r="AE1" s="120"/>
    </row>
    <row r="2" spans="1:127" ht="30" customHeight="1" x14ac:dyDescent="0.5">
      <c r="B2" s="84" t="s">
        <v>29</v>
      </c>
      <c r="C2" s="85"/>
      <c r="D2" s="22"/>
      <c r="E2" s="23"/>
      <c r="F2" s="22"/>
      <c r="I2" s="118" t="s">
        <v>22</v>
      </c>
      <c r="J2" s="119"/>
      <c r="K2" s="119"/>
      <c r="L2" s="119"/>
      <c r="M2" s="119"/>
      <c r="N2" s="119"/>
      <c r="O2" s="119"/>
      <c r="P2" s="24"/>
      <c r="Q2" s="116">
        <v>1</v>
      </c>
      <c r="R2" s="117"/>
      <c r="S2" s="117"/>
      <c r="T2" s="117"/>
      <c r="U2" s="117"/>
      <c r="V2" s="117"/>
      <c r="W2" s="117"/>
      <c r="X2" s="117"/>
      <c r="Y2" s="117"/>
      <c r="Z2" s="117"/>
    </row>
    <row r="3" spans="1:127" s="26" customFormat="1" ht="30" customHeight="1" x14ac:dyDescent="0.25">
      <c r="A3" s="13"/>
      <c r="B3" s="25" t="s">
        <v>8</v>
      </c>
      <c r="D3" s="27"/>
      <c r="E3" s="28"/>
    </row>
    <row r="4" spans="1:127" s="26" customFormat="1" ht="14.25" x14ac:dyDescent="0.2">
      <c r="A4" s="14"/>
      <c r="B4" s="29" t="s">
        <v>13</v>
      </c>
      <c r="E4" s="30"/>
      <c r="I4" s="121">
        <f>I5</f>
        <v>46111</v>
      </c>
      <c r="J4" s="115"/>
      <c r="K4" s="115"/>
      <c r="L4" s="115"/>
      <c r="M4" s="115"/>
      <c r="N4" s="115"/>
      <c r="O4" s="115"/>
      <c r="P4" s="115">
        <f>P5</f>
        <v>46118</v>
      </c>
      <c r="Q4" s="115"/>
      <c r="R4" s="115"/>
      <c r="S4" s="115"/>
      <c r="T4" s="115"/>
      <c r="U4" s="115"/>
      <c r="V4" s="115"/>
      <c r="W4" s="115">
        <f>W5</f>
        <v>46125</v>
      </c>
      <c r="X4" s="115"/>
      <c r="Y4" s="115"/>
      <c r="Z4" s="115"/>
      <c r="AA4" s="115"/>
      <c r="AB4" s="115"/>
      <c r="AC4" s="115"/>
      <c r="AD4" s="115">
        <f>AD5</f>
        <v>46132</v>
      </c>
      <c r="AE4" s="115"/>
      <c r="AF4" s="115"/>
      <c r="AG4" s="115"/>
      <c r="AH4" s="115"/>
      <c r="AI4" s="115"/>
      <c r="AJ4" s="115"/>
      <c r="AK4" s="115">
        <f>AK5</f>
        <v>46139</v>
      </c>
      <c r="AL4" s="115"/>
      <c r="AM4" s="115"/>
      <c r="AN4" s="115"/>
      <c r="AO4" s="115"/>
      <c r="AP4" s="115"/>
      <c r="AQ4" s="115"/>
      <c r="AR4" s="115">
        <f>AR5</f>
        <v>46146</v>
      </c>
      <c r="AS4" s="115"/>
      <c r="AT4" s="115"/>
      <c r="AU4" s="115"/>
      <c r="AV4" s="115"/>
      <c r="AW4" s="115"/>
      <c r="AX4" s="115"/>
      <c r="AY4" s="115">
        <f>AY5</f>
        <v>46153</v>
      </c>
      <c r="AZ4" s="115"/>
      <c r="BA4" s="115"/>
      <c r="BB4" s="115"/>
      <c r="BC4" s="115"/>
      <c r="BD4" s="115"/>
      <c r="BE4" s="115"/>
      <c r="BF4" s="115">
        <f>BF5</f>
        <v>46160</v>
      </c>
      <c r="BG4" s="115"/>
      <c r="BH4" s="115"/>
      <c r="BI4" s="115"/>
      <c r="BJ4" s="115"/>
      <c r="BK4" s="115"/>
      <c r="BL4" s="122"/>
      <c r="BM4" s="115">
        <f>BM5</f>
        <v>46167</v>
      </c>
      <c r="BN4" s="115"/>
      <c r="BO4" s="115"/>
      <c r="BP4" s="115"/>
      <c r="BQ4" s="115"/>
      <c r="BR4" s="115"/>
      <c r="BS4" s="115"/>
      <c r="BT4" s="115">
        <f>BT5</f>
        <v>46174</v>
      </c>
      <c r="BU4" s="115"/>
      <c r="BV4" s="115"/>
      <c r="BW4" s="115"/>
      <c r="BX4" s="115"/>
      <c r="BY4" s="115"/>
      <c r="BZ4" s="122"/>
      <c r="CA4" s="115">
        <f>CA5</f>
        <v>46181</v>
      </c>
      <c r="CB4" s="115"/>
      <c r="CC4" s="115"/>
      <c r="CD4" s="115"/>
      <c r="CE4" s="115"/>
      <c r="CF4" s="115"/>
      <c r="CG4" s="115"/>
      <c r="CH4" s="115">
        <f>CH5</f>
        <v>46188</v>
      </c>
      <c r="CI4" s="115"/>
      <c r="CJ4" s="115"/>
      <c r="CK4" s="115"/>
      <c r="CL4" s="115"/>
      <c r="CM4" s="115"/>
      <c r="CN4" s="122"/>
      <c r="CO4" s="115">
        <f>CO5</f>
        <v>46195</v>
      </c>
      <c r="CP4" s="115"/>
      <c r="CQ4" s="115"/>
      <c r="CR4" s="115"/>
      <c r="CS4" s="115"/>
      <c r="CT4" s="115"/>
      <c r="CU4" s="115"/>
      <c r="CV4" s="115">
        <f>CV5</f>
        <v>46202</v>
      </c>
      <c r="CW4" s="115"/>
      <c r="CX4" s="115"/>
      <c r="CY4" s="115"/>
      <c r="CZ4" s="115"/>
      <c r="DA4" s="115"/>
      <c r="DB4" s="122"/>
      <c r="DC4" s="115">
        <f>DC5</f>
        <v>46209</v>
      </c>
      <c r="DD4" s="115"/>
      <c r="DE4" s="115"/>
      <c r="DF4" s="115"/>
      <c r="DG4" s="115"/>
      <c r="DH4" s="115"/>
      <c r="DI4" s="115"/>
      <c r="DJ4" s="115">
        <f>DJ5</f>
        <v>46216</v>
      </c>
      <c r="DK4" s="115"/>
      <c r="DL4" s="115"/>
      <c r="DM4" s="115"/>
      <c r="DN4" s="115"/>
      <c r="DO4" s="115"/>
      <c r="DP4" s="122"/>
      <c r="DQ4" s="115">
        <f>DQ5</f>
        <v>46223</v>
      </c>
      <c r="DR4" s="115"/>
      <c r="DS4" s="115"/>
      <c r="DT4" s="115"/>
      <c r="DU4" s="115"/>
      <c r="DV4" s="115"/>
      <c r="DW4" s="115"/>
    </row>
    <row r="5" spans="1:127" s="26" customFormat="1" ht="15" customHeight="1" x14ac:dyDescent="0.2">
      <c r="A5" s="109"/>
      <c r="B5" s="110" t="s">
        <v>5</v>
      </c>
      <c r="C5" s="112" t="s">
        <v>23</v>
      </c>
      <c r="D5" s="114" t="s">
        <v>1</v>
      </c>
      <c r="E5" s="114" t="s">
        <v>3</v>
      </c>
      <c r="F5" s="114" t="s">
        <v>4</v>
      </c>
      <c r="I5" s="31">
        <f>Project_Start-WEEKDAY(Project_Start,1)+2+7*(Display_Week-1)</f>
        <v>46111</v>
      </c>
      <c r="J5" s="31">
        <f>I5+1</f>
        <v>46112</v>
      </c>
      <c r="K5" s="31">
        <f t="shared" ref="K5:AX5" si="0">J5+1</f>
        <v>46113</v>
      </c>
      <c r="L5" s="31">
        <f t="shared" si="0"/>
        <v>46114</v>
      </c>
      <c r="M5" s="31">
        <f t="shared" si="0"/>
        <v>46115</v>
      </c>
      <c r="N5" s="31">
        <f t="shared" si="0"/>
        <v>46116</v>
      </c>
      <c r="O5" s="32">
        <f t="shared" si="0"/>
        <v>46117</v>
      </c>
      <c r="P5" s="33">
        <f>O5+1</f>
        <v>46118</v>
      </c>
      <c r="Q5" s="31">
        <f>P5+1</f>
        <v>46119</v>
      </c>
      <c r="R5" s="31">
        <f t="shared" si="0"/>
        <v>46120</v>
      </c>
      <c r="S5" s="31">
        <f t="shared" si="0"/>
        <v>46121</v>
      </c>
      <c r="T5" s="31">
        <f t="shared" si="0"/>
        <v>46122</v>
      </c>
      <c r="U5" s="31">
        <f t="shared" si="0"/>
        <v>46123</v>
      </c>
      <c r="V5" s="32">
        <f t="shared" si="0"/>
        <v>46124</v>
      </c>
      <c r="W5" s="33">
        <f>V5+1</f>
        <v>46125</v>
      </c>
      <c r="X5" s="31">
        <f>W5+1</f>
        <v>46126</v>
      </c>
      <c r="Y5" s="31">
        <f t="shared" si="0"/>
        <v>46127</v>
      </c>
      <c r="Z5" s="31">
        <f t="shared" si="0"/>
        <v>46128</v>
      </c>
      <c r="AA5" s="31">
        <f t="shared" si="0"/>
        <v>46129</v>
      </c>
      <c r="AB5" s="31">
        <f t="shared" si="0"/>
        <v>46130</v>
      </c>
      <c r="AC5" s="32">
        <f t="shared" si="0"/>
        <v>46131</v>
      </c>
      <c r="AD5" s="33">
        <f>AC5+1</f>
        <v>46132</v>
      </c>
      <c r="AE5" s="31">
        <f>AD5+1</f>
        <v>46133</v>
      </c>
      <c r="AF5" s="31">
        <f t="shared" si="0"/>
        <v>46134</v>
      </c>
      <c r="AG5" s="31">
        <f t="shared" si="0"/>
        <v>46135</v>
      </c>
      <c r="AH5" s="31">
        <f t="shared" si="0"/>
        <v>46136</v>
      </c>
      <c r="AI5" s="31">
        <f t="shared" si="0"/>
        <v>46137</v>
      </c>
      <c r="AJ5" s="32">
        <f t="shared" si="0"/>
        <v>46138</v>
      </c>
      <c r="AK5" s="33">
        <f>AJ5+1</f>
        <v>46139</v>
      </c>
      <c r="AL5" s="31">
        <f>AK5+1</f>
        <v>46140</v>
      </c>
      <c r="AM5" s="31">
        <f t="shared" si="0"/>
        <v>46141</v>
      </c>
      <c r="AN5" s="31">
        <f t="shared" si="0"/>
        <v>46142</v>
      </c>
      <c r="AO5" s="31">
        <f t="shared" si="0"/>
        <v>46143</v>
      </c>
      <c r="AP5" s="31">
        <f t="shared" si="0"/>
        <v>46144</v>
      </c>
      <c r="AQ5" s="32">
        <f t="shared" si="0"/>
        <v>46145</v>
      </c>
      <c r="AR5" s="33">
        <f>AQ5+1</f>
        <v>46146</v>
      </c>
      <c r="AS5" s="31">
        <f>AR5+1</f>
        <v>46147</v>
      </c>
      <c r="AT5" s="31">
        <f t="shared" si="0"/>
        <v>46148</v>
      </c>
      <c r="AU5" s="31">
        <f t="shared" si="0"/>
        <v>46149</v>
      </c>
      <c r="AV5" s="31">
        <f t="shared" si="0"/>
        <v>46150</v>
      </c>
      <c r="AW5" s="31">
        <f t="shared" si="0"/>
        <v>46151</v>
      </c>
      <c r="AX5" s="32">
        <f t="shared" si="0"/>
        <v>46152</v>
      </c>
      <c r="AY5" s="33">
        <f>AX5+1</f>
        <v>46153</v>
      </c>
      <c r="AZ5" s="31">
        <f>AY5+1</f>
        <v>46154</v>
      </c>
      <c r="BA5" s="31">
        <f t="shared" ref="BA5:BE5" si="1">AZ5+1</f>
        <v>46155</v>
      </c>
      <c r="BB5" s="31">
        <f t="shared" si="1"/>
        <v>46156</v>
      </c>
      <c r="BC5" s="31">
        <f t="shared" si="1"/>
        <v>46157</v>
      </c>
      <c r="BD5" s="31">
        <f t="shared" si="1"/>
        <v>46158</v>
      </c>
      <c r="BE5" s="32">
        <f t="shared" si="1"/>
        <v>46159</v>
      </c>
      <c r="BF5" s="33">
        <f>BE5+1</f>
        <v>46160</v>
      </c>
      <c r="BG5" s="31">
        <f>BF5+1</f>
        <v>46161</v>
      </c>
      <c r="BH5" s="31">
        <f t="shared" ref="BH5:BL5" si="2">BG5+1</f>
        <v>46162</v>
      </c>
      <c r="BI5" s="31">
        <f t="shared" si="2"/>
        <v>46163</v>
      </c>
      <c r="BJ5" s="31">
        <f t="shared" si="2"/>
        <v>46164</v>
      </c>
      <c r="BK5" s="31">
        <f t="shared" si="2"/>
        <v>46165</v>
      </c>
      <c r="BL5" s="31">
        <f t="shared" si="2"/>
        <v>46166</v>
      </c>
      <c r="BM5" s="33">
        <f>BL5+1</f>
        <v>46167</v>
      </c>
      <c r="BN5" s="31">
        <f>BM5+1</f>
        <v>46168</v>
      </c>
      <c r="BO5" s="31">
        <f t="shared" ref="BO5" si="3">BN5+1</f>
        <v>46169</v>
      </c>
      <c r="BP5" s="31">
        <f t="shared" ref="BP5" si="4">BO5+1</f>
        <v>46170</v>
      </c>
      <c r="BQ5" s="31">
        <f t="shared" ref="BQ5" si="5">BP5+1</f>
        <v>46171</v>
      </c>
      <c r="BR5" s="31">
        <f t="shared" ref="BR5" si="6">BQ5+1</f>
        <v>46172</v>
      </c>
      <c r="BS5" s="32">
        <f t="shared" ref="BS5" si="7">BR5+1</f>
        <v>46173</v>
      </c>
      <c r="BT5" s="33">
        <f>BS5+1</f>
        <v>46174</v>
      </c>
      <c r="BU5" s="31">
        <f>BT5+1</f>
        <v>46175</v>
      </c>
      <c r="BV5" s="31">
        <f t="shared" ref="BV5" si="8">BU5+1</f>
        <v>46176</v>
      </c>
      <c r="BW5" s="31">
        <f t="shared" ref="BW5" si="9">BV5+1</f>
        <v>46177</v>
      </c>
      <c r="BX5" s="31">
        <f t="shared" ref="BX5" si="10">BW5+1</f>
        <v>46178</v>
      </c>
      <c r="BY5" s="31">
        <f t="shared" ref="BY5" si="11">BX5+1</f>
        <v>46179</v>
      </c>
      <c r="BZ5" s="31">
        <f t="shared" ref="BZ5" si="12">BY5+1</f>
        <v>46180</v>
      </c>
      <c r="CA5" s="33">
        <f>BZ5+1</f>
        <v>46181</v>
      </c>
      <c r="CB5" s="31">
        <f>CA5+1</f>
        <v>46182</v>
      </c>
      <c r="CC5" s="31">
        <f t="shared" ref="CC5" si="13">CB5+1</f>
        <v>46183</v>
      </c>
      <c r="CD5" s="31">
        <f t="shared" ref="CD5" si="14">CC5+1</f>
        <v>46184</v>
      </c>
      <c r="CE5" s="31">
        <f t="shared" ref="CE5" si="15">CD5+1</f>
        <v>46185</v>
      </c>
      <c r="CF5" s="31">
        <f t="shared" ref="CF5" si="16">CE5+1</f>
        <v>46186</v>
      </c>
      <c r="CG5" s="32">
        <f t="shared" ref="CG5" si="17">CF5+1</f>
        <v>46187</v>
      </c>
      <c r="CH5" s="33">
        <f>CG5+1</f>
        <v>46188</v>
      </c>
      <c r="CI5" s="31">
        <f>CH5+1</f>
        <v>46189</v>
      </c>
      <c r="CJ5" s="31">
        <f t="shared" ref="CJ5" si="18">CI5+1</f>
        <v>46190</v>
      </c>
      <c r="CK5" s="31">
        <f t="shared" ref="CK5" si="19">CJ5+1</f>
        <v>46191</v>
      </c>
      <c r="CL5" s="31">
        <f t="shared" ref="CL5" si="20">CK5+1</f>
        <v>46192</v>
      </c>
      <c r="CM5" s="31">
        <f t="shared" ref="CM5" si="21">CL5+1</f>
        <v>46193</v>
      </c>
      <c r="CN5" s="31">
        <f t="shared" ref="CN5" si="22">CM5+1</f>
        <v>46194</v>
      </c>
      <c r="CO5" s="33">
        <f>CN5+1</f>
        <v>46195</v>
      </c>
      <c r="CP5" s="31">
        <f>CO5+1</f>
        <v>46196</v>
      </c>
      <c r="CQ5" s="31">
        <f t="shared" ref="CQ5" si="23">CP5+1</f>
        <v>46197</v>
      </c>
      <c r="CR5" s="31">
        <f t="shared" ref="CR5" si="24">CQ5+1</f>
        <v>46198</v>
      </c>
      <c r="CS5" s="31">
        <f t="shared" ref="CS5" si="25">CR5+1</f>
        <v>46199</v>
      </c>
      <c r="CT5" s="31">
        <f t="shared" ref="CT5" si="26">CS5+1</f>
        <v>46200</v>
      </c>
      <c r="CU5" s="32">
        <f t="shared" ref="CU5" si="27">CT5+1</f>
        <v>46201</v>
      </c>
      <c r="CV5" s="33">
        <f>CU5+1</f>
        <v>46202</v>
      </c>
      <c r="CW5" s="31">
        <f>CV5+1</f>
        <v>46203</v>
      </c>
      <c r="CX5" s="31">
        <f t="shared" ref="CX5" si="28">CW5+1</f>
        <v>46204</v>
      </c>
      <c r="CY5" s="31">
        <f t="shared" ref="CY5" si="29">CX5+1</f>
        <v>46205</v>
      </c>
      <c r="CZ5" s="31">
        <f t="shared" ref="CZ5" si="30">CY5+1</f>
        <v>46206</v>
      </c>
      <c r="DA5" s="31">
        <f t="shared" ref="DA5" si="31">CZ5+1</f>
        <v>46207</v>
      </c>
      <c r="DB5" s="31">
        <f t="shared" ref="DB5" si="32">DA5+1</f>
        <v>46208</v>
      </c>
      <c r="DC5" s="33">
        <f>DB5+1</f>
        <v>46209</v>
      </c>
      <c r="DD5" s="31">
        <f>DC5+1</f>
        <v>46210</v>
      </c>
      <c r="DE5" s="31">
        <f t="shared" ref="DE5" si="33">DD5+1</f>
        <v>46211</v>
      </c>
      <c r="DF5" s="31">
        <f t="shared" ref="DF5" si="34">DE5+1</f>
        <v>46212</v>
      </c>
      <c r="DG5" s="31">
        <f t="shared" ref="DG5" si="35">DF5+1</f>
        <v>46213</v>
      </c>
      <c r="DH5" s="31">
        <f t="shared" ref="DH5" si="36">DG5+1</f>
        <v>46214</v>
      </c>
      <c r="DI5" s="32">
        <f t="shared" ref="DI5" si="37">DH5+1</f>
        <v>46215</v>
      </c>
      <c r="DJ5" s="33">
        <f>DI5+1</f>
        <v>46216</v>
      </c>
      <c r="DK5" s="31">
        <f>DJ5+1</f>
        <v>46217</v>
      </c>
      <c r="DL5" s="31">
        <f t="shared" ref="DL5" si="38">DK5+1</f>
        <v>46218</v>
      </c>
      <c r="DM5" s="31">
        <f t="shared" ref="DM5" si="39">DL5+1</f>
        <v>46219</v>
      </c>
      <c r="DN5" s="31">
        <f t="shared" ref="DN5" si="40">DM5+1</f>
        <v>46220</v>
      </c>
      <c r="DO5" s="31">
        <f t="shared" ref="DO5" si="41">DN5+1</f>
        <v>46221</v>
      </c>
      <c r="DP5" s="31">
        <f t="shared" ref="DP5" si="42">DO5+1</f>
        <v>46222</v>
      </c>
      <c r="DQ5" s="33">
        <f>DP5+1</f>
        <v>46223</v>
      </c>
      <c r="DR5" s="31">
        <f>DQ5+1</f>
        <v>46224</v>
      </c>
      <c r="DS5" s="31">
        <f t="shared" ref="DS5" si="43">DR5+1</f>
        <v>46225</v>
      </c>
      <c r="DT5" s="31">
        <f t="shared" ref="DT5" si="44">DS5+1</f>
        <v>46226</v>
      </c>
      <c r="DU5" s="31">
        <f t="shared" ref="DU5" si="45">DT5+1</f>
        <v>46227</v>
      </c>
      <c r="DV5" s="31">
        <f t="shared" ref="DV5" si="46">DU5+1</f>
        <v>46228</v>
      </c>
      <c r="DW5" s="32">
        <f t="shared" ref="DW5" si="47">DV5+1</f>
        <v>46229</v>
      </c>
    </row>
    <row r="6" spans="1:127" s="26" customFormat="1" ht="15" customHeight="1" thickBot="1" x14ac:dyDescent="0.25">
      <c r="A6" s="109"/>
      <c r="B6" s="111"/>
      <c r="C6" s="113"/>
      <c r="D6" s="113"/>
      <c r="E6" s="113"/>
      <c r="F6" s="113"/>
      <c r="I6" s="34" t="str">
        <f t="shared" ref="I6:AN6" si="48">LEFT(TEXT(I5,"ddd"),1)</f>
        <v>M</v>
      </c>
      <c r="J6" s="35" t="str">
        <f t="shared" si="48"/>
        <v>T</v>
      </c>
      <c r="K6" s="35" t="str">
        <f t="shared" si="48"/>
        <v>W</v>
      </c>
      <c r="L6" s="35" t="str">
        <f t="shared" si="48"/>
        <v>T</v>
      </c>
      <c r="M6" s="35" t="str">
        <f t="shared" si="48"/>
        <v>F</v>
      </c>
      <c r="N6" s="35" t="str">
        <f t="shared" si="48"/>
        <v>S</v>
      </c>
      <c r="O6" s="35" t="str">
        <f t="shared" si="48"/>
        <v>S</v>
      </c>
      <c r="P6" s="35" t="str">
        <f t="shared" si="48"/>
        <v>M</v>
      </c>
      <c r="Q6" s="35" t="str">
        <f t="shared" si="48"/>
        <v>T</v>
      </c>
      <c r="R6" s="35" t="str">
        <f t="shared" si="48"/>
        <v>W</v>
      </c>
      <c r="S6" s="35" t="str">
        <f t="shared" si="48"/>
        <v>T</v>
      </c>
      <c r="T6" s="35" t="str">
        <f t="shared" si="48"/>
        <v>F</v>
      </c>
      <c r="U6" s="35" t="str">
        <f t="shared" si="48"/>
        <v>S</v>
      </c>
      <c r="V6" s="35" t="str">
        <f t="shared" si="48"/>
        <v>S</v>
      </c>
      <c r="W6" s="35" t="str">
        <f t="shared" si="48"/>
        <v>M</v>
      </c>
      <c r="X6" s="35" t="str">
        <f t="shared" si="48"/>
        <v>T</v>
      </c>
      <c r="Y6" s="35" t="str">
        <f t="shared" si="48"/>
        <v>W</v>
      </c>
      <c r="Z6" s="35" t="str">
        <f t="shared" si="48"/>
        <v>T</v>
      </c>
      <c r="AA6" s="35" t="str">
        <f t="shared" si="48"/>
        <v>F</v>
      </c>
      <c r="AB6" s="35" t="str">
        <f t="shared" si="48"/>
        <v>S</v>
      </c>
      <c r="AC6" s="35" t="str">
        <f t="shared" si="48"/>
        <v>S</v>
      </c>
      <c r="AD6" s="35" t="str">
        <f t="shared" si="48"/>
        <v>M</v>
      </c>
      <c r="AE6" s="35" t="str">
        <f t="shared" si="48"/>
        <v>T</v>
      </c>
      <c r="AF6" s="35" t="str">
        <f t="shared" si="48"/>
        <v>W</v>
      </c>
      <c r="AG6" s="35" t="str">
        <f t="shared" si="48"/>
        <v>T</v>
      </c>
      <c r="AH6" s="35" t="str">
        <f t="shared" si="48"/>
        <v>F</v>
      </c>
      <c r="AI6" s="35" t="str">
        <f t="shared" si="48"/>
        <v>S</v>
      </c>
      <c r="AJ6" s="35" t="str">
        <f t="shared" si="48"/>
        <v>S</v>
      </c>
      <c r="AK6" s="35" t="str">
        <f t="shared" si="48"/>
        <v>M</v>
      </c>
      <c r="AL6" s="35" t="str">
        <f t="shared" si="48"/>
        <v>T</v>
      </c>
      <c r="AM6" s="35" t="str">
        <f t="shared" si="48"/>
        <v>W</v>
      </c>
      <c r="AN6" s="35" t="str">
        <f t="shared" si="48"/>
        <v>T</v>
      </c>
      <c r="AO6" s="35" t="str">
        <f t="shared" ref="AO6:BL6" si="49">LEFT(TEXT(AO5,"ddd"),1)</f>
        <v>F</v>
      </c>
      <c r="AP6" s="35" t="str">
        <f t="shared" si="49"/>
        <v>S</v>
      </c>
      <c r="AQ6" s="35" t="str">
        <f t="shared" si="49"/>
        <v>S</v>
      </c>
      <c r="AR6" s="35" t="str">
        <f t="shared" si="49"/>
        <v>M</v>
      </c>
      <c r="AS6" s="35" t="str">
        <f t="shared" si="49"/>
        <v>T</v>
      </c>
      <c r="AT6" s="35" t="str">
        <f t="shared" si="49"/>
        <v>W</v>
      </c>
      <c r="AU6" s="35" t="str">
        <f t="shared" si="49"/>
        <v>T</v>
      </c>
      <c r="AV6" s="35" t="str">
        <f t="shared" si="49"/>
        <v>F</v>
      </c>
      <c r="AW6" s="35" t="str">
        <f t="shared" si="49"/>
        <v>S</v>
      </c>
      <c r="AX6" s="35" t="str">
        <f t="shared" si="49"/>
        <v>S</v>
      </c>
      <c r="AY6" s="35" t="str">
        <f t="shared" si="49"/>
        <v>M</v>
      </c>
      <c r="AZ6" s="35" t="str">
        <f t="shared" si="49"/>
        <v>T</v>
      </c>
      <c r="BA6" s="35" t="str">
        <f t="shared" si="49"/>
        <v>W</v>
      </c>
      <c r="BB6" s="35" t="str">
        <f t="shared" si="49"/>
        <v>T</v>
      </c>
      <c r="BC6" s="35" t="str">
        <f t="shared" si="49"/>
        <v>F</v>
      </c>
      <c r="BD6" s="35" t="str">
        <f t="shared" si="49"/>
        <v>S</v>
      </c>
      <c r="BE6" s="35" t="str">
        <f t="shared" si="49"/>
        <v>S</v>
      </c>
      <c r="BF6" s="35" t="str">
        <f t="shared" si="49"/>
        <v>M</v>
      </c>
      <c r="BG6" s="35" t="str">
        <f t="shared" si="49"/>
        <v>T</v>
      </c>
      <c r="BH6" s="35" t="str">
        <f t="shared" si="49"/>
        <v>W</v>
      </c>
      <c r="BI6" s="35" t="str">
        <f t="shared" si="49"/>
        <v>T</v>
      </c>
      <c r="BJ6" s="35" t="str">
        <f t="shared" si="49"/>
        <v>F</v>
      </c>
      <c r="BK6" s="35" t="str">
        <f t="shared" si="49"/>
        <v>S</v>
      </c>
      <c r="BL6" s="36" t="str">
        <f t="shared" si="49"/>
        <v>S</v>
      </c>
      <c r="BM6" s="35" t="str">
        <f t="shared" ref="BM6:CN6" si="50">LEFT(TEXT(BM5,"ddd"),1)</f>
        <v>M</v>
      </c>
      <c r="BN6" s="35" t="str">
        <f t="shared" si="50"/>
        <v>T</v>
      </c>
      <c r="BO6" s="35" t="str">
        <f t="shared" si="50"/>
        <v>W</v>
      </c>
      <c r="BP6" s="35" t="str">
        <f t="shared" si="50"/>
        <v>T</v>
      </c>
      <c r="BQ6" s="35" t="str">
        <f t="shared" si="50"/>
        <v>F</v>
      </c>
      <c r="BR6" s="35" t="str">
        <f t="shared" si="50"/>
        <v>S</v>
      </c>
      <c r="BS6" s="35" t="str">
        <f t="shared" si="50"/>
        <v>S</v>
      </c>
      <c r="BT6" s="35" t="str">
        <f t="shared" si="50"/>
        <v>M</v>
      </c>
      <c r="BU6" s="35" t="str">
        <f t="shared" si="50"/>
        <v>T</v>
      </c>
      <c r="BV6" s="35" t="str">
        <f t="shared" si="50"/>
        <v>W</v>
      </c>
      <c r="BW6" s="35" t="str">
        <f t="shared" si="50"/>
        <v>T</v>
      </c>
      <c r="BX6" s="35" t="str">
        <f t="shared" si="50"/>
        <v>F</v>
      </c>
      <c r="BY6" s="35" t="str">
        <f t="shared" si="50"/>
        <v>S</v>
      </c>
      <c r="BZ6" s="36" t="str">
        <f t="shared" si="50"/>
        <v>S</v>
      </c>
      <c r="CA6" s="35" t="str">
        <f t="shared" si="50"/>
        <v>M</v>
      </c>
      <c r="CB6" s="35" t="str">
        <f t="shared" si="50"/>
        <v>T</v>
      </c>
      <c r="CC6" s="35" t="str">
        <f t="shared" si="50"/>
        <v>W</v>
      </c>
      <c r="CD6" s="35" t="str">
        <f t="shared" si="50"/>
        <v>T</v>
      </c>
      <c r="CE6" s="35" t="str">
        <f t="shared" si="50"/>
        <v>F</v>
      </c>
      <c r="CF6" s="35" t="str">
        <f t="shared" si="50"/>
        <v>S</v>
      </c>
      <c r="CG6" s="35" t="str">
        <f t="shared" si="50"/>
        <v>S</v>
      </c>
      <c r="CH6" s="35" t="str">
        <f t="shared" si="50"/>
        <v>M</v>
      </c>
      <c r="CI6" s="35" t="str">
        <f t="shared" si="50"/>
        <v>T</v>
      </c>
      <c r="CJ6" s="35" t="str">
        <f t="shared" si="50"/>
        <v>W</v>
      </c>
      <c r="CK6" s="35" t="str">
        <f t="shared" si="50"/>
        <v>T</v>
      </c>
      <c r="CL6" s="35" t="str">
        <f t="shared" si="50"/>
        <v>F</v>
      </c>
      <c r="CM6" s="35" t="str">
        <f t="shared" si="50"/>
        <v>S</v>
      </c>
      <c r="CN6" s="36" t="str">
        <f t="shared" si="50"/>
        <v>S</v>
      </c>
      <c r="CO6" s="35" t="str">
        <f t="shared" ref="CO6:DW6" si="51">LEFT(TEXT(CO5,"ddd"),1)</f>
        <v>M</v>
      </c>
      <c r="CP6" s="35" t="str">
        <f t="shared" si="51"/>
        <v>T</v>
      </c>
      <c r="CQ6" s="35" t="str">
        <f t="shared" si="51"/>
        <v>W</v>
      </c>
      <c r="CR6" s="35" t="str">
        <f t="shared" si="51"/>
        <v>T</v>
      </c>
      <c r="CS6" s="35" t="str">
        <f t="shared" si="51"/>
        <v>F</v>
      </c>
      <c r="CT6" s="35" t="str">
        <f t="shared" si="51"/>
        <v>S</v>
      </c>
      <c r="CU6" s="35" t="str">
        <f t="shared" si="51"/>
        <v>S</v>
      </c>
      <c r="CV6" s="35" t="str">
        <f t="shared" si="51"/>
        <v>M</v>
      </c>
      <c r="CW6" s="35" t="str">
        <f t="shared" si="51"/>
        <v>T</v>
      </c>
      <c r="CX6" s="35" t="str">
        <f t="shared" si="51"/>
        <v>W</v>
      </c>
      <c r="CY6" s="35" t="str">
        <f t="shared" si="51"/>
        <v>T</v>
      </c>
      <c r="CZ6" s="35" t="str">
        <f t="shared" si="51"/>
        <v>F</v>
      </c>
      <c r="DA6" s="35" t="str">
        <f t="shared" si="51"/>
        <v>S</v>
      </c>
      <c r="DB6" s="36" t="str">
        <f t="shared" si="51"/>
        <v>S</v>
      </c>
      <c r="DC6" s="35" t="str">
        <f t="shared" si="51"/>
        <v>M</v>
      </c>
      <c r="DD6" s="35" t="str">
        <f t="shared" si="51"/>
        <v>T</v>
      </c>
      <c r="DE6" s="35" t="str">
        <f t="shared" si="51"/>
        <v>W</v>
      </c>
      <c r="DF6" s="35" t="str">
        <f t="shared" si="51"/>
        <v>T</v>
      </c>
      <c r="DG6" s="35" t="str">
        <f t="shared" si="51"/>
        <v>F</v>
      </c>
      <c r="DH6" s="35" t="str">
        <f t="shared" si="51"/>
        <v>S</v>
      </c>
      <c r="DI6" s="35" t="str">
        <f t="shared" si="51"/>
        <v>S</v>
      </c>
      <c r="DJ6" s="35" t="str">
        <f t="shared" si="51"/>
        <v>M</v>
      </c>
      <c r="DK6" s="35" t="str">
        <f t="shared" si="51"/>
        <v>T</v>
      </c>
      <c r="DL6" s="35" t="str">
        <f t="shared" si="51"/>
        <v>W</v>
      </c>
      <c r="DM6" s="35" t="str">
        <f t="shared" si="51"/>
        <v>T</v>
      </c>
      <c r="DN6" s="35" t="str">
        <f t="shared" si="51"/>
        <v>F</v>
      </c>
      <c r="DO6" s="35" t="str">
        <f t="shared" si="51"/>
        <v>S</v>
      </c>
      <c r="DP6" s="36" t="str">
        <f t="shared" si="51"/>
        <v>S</v>
      </c>
      <c r="DQ6" s="35" t="str">
        <f t="shared" si="51"/>
        <v>M</v>
      </c>
      <c r="DR6" s="35" t="str">
        <f t="shared" si="51"/>
        <v>T</v>
      </c>
      <c r="DS6" s="35" t="str">
        <f t="shared" si="51"/>
        <v>W</v>
      </c>
      <c r="DT6" s="35" t="str">
        <f t="shared" si="51"/>
        <v>T</v>
      </c>
      <c r="DU6" s="35" t="str">
        <f t="shared" si="51"/>
        <v>F</v>
      </c>
      <c r="DV6" s="35" t="str">
        <f t="shared" si="51"/>
        <v>S</v>
      </c>
      <c r="DW6" s="35" t="str">
        <f t="shared" si="51"/>
        <v>S</v>
      </c>
    </row>
    <row r="7" spans="1:127" s="26" customFormat="1" ht="30" hidden="1" customHeight="1" thickBot="1" x14ac:dyDescent="0.25">
      <c r="A7" s="13" t="s">
        <v>20</v>
      </c>
      <c r="B7" s="37"/>
      <c r="C7" s="38"/>
      <c r="D7" s="37"/>
      <c r="E7" s="37"/>
      <c r="F7" s="37"/>
      <c r="H7" s="26" t="str">
        <f>IF(OR(ISBLANK(task_start),ISBLANK(task_end)),"",task_end-task_start+1)</f>
        <v/>
      </c>
      <c r="I7" s="39"/>
      <c r="J7" s="39"/>
      <c r="K7" s="39"/>
      <c r="L7" s="39"/>
      <c r="M7" s="39"/>
      <c r="N7" s="39"/>
      <c r="O7" s="39"/>
      <c r="P7" s="39"/>
      <c r="Q7" s="39"/>
      <c r="R7" s="39"/>
      <c r="S7" s="39"/>
      <c r="T7" s="39"/>
      <c r="U7" s="39"/>
      <c r="V7" s="39"/>
      <c r="W7" s="39"/>
      <c r="X7" s="39"/>
      <c r="Y7" s="39"/>
      <c r="Z7" s="39"/>
      <c r="AA7" s="39"/>
      <c r="AB7" s="39"/>
      <c r="AC7" s="39"/>
      <c r="AD7" s="39"/>
      <c r="AE7" s="39"/>
      <c r="AF7" s="39"/>
      <c r="AG7" s="39"/>
      <c r="AH7" s="39"/>
      <c r="AI7" s="39"/>
      <c r="AJ7" s="39"/>
      <c r="AK7" s="39"/>
      <c r="AL7" s="39"/>
      <c r="AM7" s="39"/>
      <c r="AN7" s="39"/>
      <c r="AO7" s="39"/>
      <c r="AP7" s="39"/>
      <c r="AQ7" s="39"/>
      <c r="AR7" s="39"/>
      <c r="AS7" s="39"/>
      <c r="AT7" s="39"/>
      <c r="AU7" s="39"/>
      <c r="AV7" s="39"/>
      <c r="AW7" s="39"/>
      <c r="AX7" s="39"/>
      <c r="AY7" s="39"/>
      <c r="AZ7" s="39"/>
      <c r="BA7" s="39"/>
      <c r="BB7" s="39"/>
      <c r="BC7" s="39"/>
      <c r="BD7" s="39"/>
      <c r="BE7" s="39"/>
      <c r="BF7" s="39"/>
      <c r="BG7" s="39"/>
      <c r="BH7" s="39"/>
      <c r="BI7" s="39"/>
      <c r="BJ7" s="39"/>
      <c r="BK7" s="39"/>
      <c r="BL7" s="39"/>
      <c r="BM7" s="39"/>
      <c r="BN7" s="39"/>
      <c r="BO7" s="39"/>
      <c r="BP7" s="39"/>
      <c r="BQ7" s="39"/>
      <c r="BR7" s="39"/>
      <c r="BS7" s="39"/>
      <c r="BT7" s="39"/>
      <c r="BU7" s="39"/>
      <c r="BV7" s="39"/>
      <c r="BW7" s="39"/>
      <c r="BX7" s="39"/>
      <c r="BY7" s="39"/>
      <c r="BZ7" s="39"/>
      <c r="CA7" s="39"/>
      <c r="CB7" s="39"/>
      <c r="CC7" s="39"/>
      <c r="CD7" s="39"/>
      <c r="CE7" s="39"/>
      <c r="CF7" s="39"/>
      <c r="CG7" s="39"/>
      <c r="CH7" s="39"/>
      <c r="CI7" s="39"/>
      <c r="CJ7" s="39"/>
      <c r="CK7" s="39"/>
      <c r="CL7" s="39"/>
      <c r="CM7" s="39"/>
      <c r="CN7" s="39"/>
      <c r="CO7" s="39"/>
      <c r="CP7" s="39"/>
      <c r="CQ7" s="39"/>
      <c r="CR7" s="39"/>
      <c r="CS7" s="39"/>
      <c r="CT7" s="39"/>
      <c r="CU7" s="39"/>
      <c r="CV7" s="39"/>
      <c r="CW7" s="39"/>
      <c r="CX7" s="39"/>
      <c r="CY7" s="39"/>
      <c r="CZ7" s="39"/>
      <c r="DA7" s="39"/>
      <c r="DB7" s="39"/>
      <c r="DC7" s="39"/>
      <c r="DD7" s="39"/>
      <c r="DE7" s="39"/>
      <c r="DF7" s="39"/>
      <c r="DG7" s="39"/>
      <c r="DH7" s="39"/>
      <c r="DI7" s="39"/>
      <c r="DJ7" s="39"/>
      <c r="DK7" s="39"/>
      <c r="DL7" s="39"/>
      <c r="DM7" s="39"/>
      <c r="DN7" s="39"/>
      <c r="DO7" s="39"/>
      <c r="DP7" s="39"/>
      <c r="DQ7" s="39"/>
      <c r="DR7" s="39"/>
      <c r="DS7" s="39"/>
      <c r="DT7" s="39"/>
      <c r="DU7" s="39"/>
      <c r="DV7" s="39"/>
      <c r="DW7" s="39"/>
    </row>
    <row r="8" spans="1:127" s="46" customFormat="1" ht="30" customHeight="1" thickBot="1" x14ac:dyDescent="0.25">
      <c r="A8" s="14"/>
      <c r="B8" s="40" t="s">
        <v>25</v>
      </c>
      <c r="C8" s="41"/>
      <c r="D8" s="42"/>
      <c r="E8" s="43"/>
      <c r="F8" s="44"/>
      <c r="G8" s="17"/>
      <c r="H8" s="5" t="str">
        <f t="shared" ref="H8:H34" si="52">IF(OR(ISBLANK(task_start),ISBLANK(task_end)),"",task_end-task_start+1)</f>
        <v/>
      </c>
      <c r="I8" s="45"/>
      <c r="J8" s="45"/>
      <c r="K8" s="45"/>
      <c r="L8" s="45"/>
      <c r="M8" s="45"/>
      <c r="N8" s="45"/>
      <c r="O8" s="45"/>
      <c r="P8" s="45"/>
      <c r="Q8" s="45"/>
      <c r="R8" s="45"/>
      <c r="S8" s="45"/>
      <c r="T8" s="45"/>
      <c r="U8" s="45"/>
      <c r="V8" s="45"/>
      <c r="W8" s="45"/>
      <c r="X8" s="45"/>
      <c r="Y8" s="45"/>
      <c r="Z8" s="45"/>
      <c r="AA8" s="45"/>
      <c r="AB8" s="45"/>
      <c r="AC8" s="45"/>
      <c r="AD8" s="45"/>
      <c r="AE8" s="45"/>
      <c r="AF8" s="45"/>
      <c r="AG8" s="45"/>
      <c r="AH8" s="45"/>
      <c r="AI8" s="45"/>
      <c r="AJ8" s="45"/>
      <c r="AK8" s="45"/>
      <c r="AL8" s="45"/>
      <c r="AM8" s="45"/>
      <c r="AN8" s="45"/>
      <c r="AO8" s="45"/>
      <c r="AP8" s="45"/>
      <c r="AQ8" s="45"/>
      <c r="AR8" s="45"/>
      <c r="AS8" s="45"/>
      <c r="AT8" s="45"/>
      <c r="AU8" s="45"/>
      <c r="AV8" s="45"/>
      <c r="AW8" s="45"/>
      <c r="AX8" s="45"/>
      <c r="AY8" s="45"/>
      <c r="AZ8" s="45"/>
      <c r="BA8" s="45"/>
      <c r="BB8" s="45"/>
      <c r="BC8" s="45"/>
      <c r="BD8" s="45"/>
      <c r="BE8" s="45"/>
      <c r="BF8" s="45"/>
      <c r="BG8" s="45"/>
      <c r="BH8" s="45"/>
      <c r="BI8" s="45"/>
      <c r="BJ8" s="45"/>
      <c r="BK8" s="45"/>
      <c r="BL8" s="45"/>
      <c r="BM8" s="45"/>
      <c r="BN8" s="45"/>
      <c r="BO8" s="45"/>
      <c r="BP8" s="45"/>
      <c r="BQ8" s="45"/>
      <c r="BR8" s="45"/>
      <c r="BS8" s="45"/>
      <c r="BT8" s="45"/>
      <c r="BU8" s="45"/>
      <c r="BV8" s="45"/>
      <c r="BW8" s="45"/>
      <c r="BX8" s="45"/>
      <c r="BY8" s="45"/>
      <c r="BZ8" s="45"/>
      <c r="CA8" s="45"/>
      <c r="CB8" s="45"/>
      <c r="CC8" s="45"/>
      <c r="CD8" s="45"/>
      <c r="CE8" s="45"/>
      <c r="CF8" s="45"/>
      <c r="CG8" s="45"/>
      <c r="CH8" s="45"/>
      <c r="CI8" s="45"/>
      <c r="CJ8" s="45"/>
      <c r="CK8" s="45"/>
      <c r="CL8" s="45"/>
      <c r="CM8" s="45"/>
      <c r="CN8" s="45"/>
      <c r="CO8" s="45"/>
      <c r="CP8" s="45"/>
      <c r="CQ8" s="45"/>
      <c r="CR8" s="45"/>
      <c r="CS8" s="45"/>
      <c r="CT8" s="45"/>
      <c r="CU8" s="45"/>
      <c r="CV8" s="45"/>
      <c r="CW8" s="45"/>
      <c r="CX8" s="45"/>
      <c r="CY8" s="45"/>
      <c r="CZ8" s="45"/>
      <c r="DA8" s="45"/>
      <c r="DB8" s="45"/>
      <c r="DC8" s="45"/>
      <c r="DD8" s="45"/>
      <c r="DE8" s="45"/>
      <c r="DF8" s="45"/>
      <c r="DG8" s="45"/>
      <c r="DH8" s="45"/>
      <c r="DI8" s="45"/>
      <c r="DJ8" s="45"/>
      <c r="DK8" s="45"/>
      <c r="DL8" s="45"/>
      <c r="DM8" s="45"/>
      <c r="DN8" s="45"/>
      <c r="DO8" s="45"/>
      <c r="DP8" s="45"/>
      <c r="DQ8" s="45"/>
      <c r="DR8" s="45"/>
      <c r="DS8" s="45"/>
      <c r="DT8" s="45"/>
      <c r="DU8" s="45"/>
      <c r="DV8" s="45"/>
      <c r="DW8" s="45"/>
    </row>
    <row r="9" spans="1:127" s="46" customFormat="1" ht="30" customHeight="1" thickBot="1" x14ac:dyDescent="0.25">
      <c r="A9" s="14"/>
      <c r="B9" s="47" t="s">
        <v>32</v>
      </c>
      <c r="C9" s="48" t="s">
        <v>39</v>
      </c>
      <c r="D9" s="49">
        <v>1</v>
      </c>
      <c r="E9" s="94">
        <f>Project_Start</f>
        <v>46111</v>
      </c>
      <c r="F9" s="94">
        <f>E9+3</f>
        <v>46114</v>
      </c>
      <c r="G9" s="17"/>
      <c r="H9" s="5">
        <f t="shared" si="52"/>
        <v>4</v>
      </c>
      <c r="I9" s="50"/>
      <c r="J9" s="50"/>
      <c r="K9" s="50"/>
      <c r="L9" s="50"/>
      <c r="M9" s="50"/>
      <c r="N9" s="50"/>
      <c r="O9" s="50"/>
      <c r="P9" s="50"/>
      <c r="Q9" s="50"/>
      <c r="R9" s="50"/>
      <c r="S9" s="50"/>
      <c r="T9" s="50"/>
      <c r="U9" s="50"/>
      <c r="V9" s="50"/>
      <c r="W9" s="50"/>
      <c r="X9" s="50"/>
      <c r="Y9" s="50"/>
      <c r="Z9" s="50"/>
      <c r="AA9" s="50"/>
      <c r="AB9" s="50"/>
      <c r="AC9" s="50"/>
      <c r="AD9" s="50"/>
      <c r="AE9" s="50"/>
      <c r="AF9" s="50"/>
      <c r="AG9" s="50"/>
      <c r="AH9" s="50"/>
      <c r="AI9" s="50"/>
      <c r="AJ9" s="50"/>
      <c r="AK9" s="50"/>
      <c r="AL9" s="50"/>
      <c r="AM9" s="50"/>
      <c r="AN9" s="50"/>
      <c r="AO9" s="50"/>
      <c r="AP9" s="50"/>
      <c r="AQ9" s="50"/>
      <c r="AR9" s="50"/>
      <c r="AS9" s="50"/>
      <c r="AT9" s="50"/>
      <c r="AU9" s="50"/>
      <c r="AV9" s="50"/>
      <c r="AW9" s="50"/>
      <c r="AX9" s="50"/>
      <c r="AY9" s="50"/>
      <c r="AZ9" s="50"/>
      <c r="BA9" s="50"/>
      <c r="BB9" s="50"/>
      <c r="BC9" s="50"/>
      <c r="BD9" s="50"/>
      <c r="BE9" s="50"/>
      <c r="BF9" s="50"/>
      <c r="BG9" s="50"/>
      <c r="BH9" s="50"/>
      <c r="BI9" s="50"/>
      <c r="BJ9" s="50"/>
      <c r="BK9" s="50"/>
      <c r="BL9" s="50"/>
      <c r="BM9" s="50"/>
      <c r="BN9" s="50"/>
      <c r="BO9" s="50"/>
      <c r="BP9" s="50"/>
      <c r="BQ9" s="50"/>
      <c r="BR9" s="50"/>
      <c r="BS9" s="50"/>
      <c r="BT9" s="50"/>
      <c r="BU9" s="50"/>
      <c r="BV9" s="50"/>
      <c r="BW9" s="50"/>
      <c r="BX9" s="50"/>
      <c r="BY9" s="50"/>
      <c r="BZ9" s="50"/>
      <c r="CA9" s="50"/>
      <c r="CB9" s="50"/>
      <c r="CC9" s="50"/>
      <c r="CD9" s="50"/>
      <c r="CE9" s="50"/>
      <c r="CF9" s="50"/>
      <c r="CG9" s="50"/>
      <c r="CH9" s="50"/>
      <c r="CI9" s="50"/>
      <c r="CJ9" s="50"/>
      <c r="CK9" s="50"/>
      <c r="CL9" s="50"/>
      <c r="CM9" s="50"/>
      <c r="CN9" s="50"/>
      <c r="CO9" s="50"/>
      <c r="CP9" s="50"/>
      <c r="CQ9" s="50"/>
      <c r="CR9" s="50"/>
      <c r="CS9" s="50"/>
      <c r="CT9" s="50"/>
      <c r="CU9" s="50"/>
      <c r="CV9" s="50"/>
      <c r="CW9" s="50"/>
      <c r="CX9" s="50"/>
      <c r="CY9" s="50"/>
      <c r="CZ9" s="50"/>
      <c r="DA9" s="50"/>
      <c r="DB9" s="50"/>
      <c r="DC9" s="50"/>
      <c r="DD9" s="50"/>
      <c r="DE9" s="50"/>
      <c r="DF9" s="50"/>
      <c r="DG9" s="50"/>
      <c r="DH9" s="50"/>
      <c r="DI9" s="50"/>
      <c r="DJ9" s="50"/>
      <c r="DK9" s="50"/>
      <c r="DL9" s="50"/>
      <c r="DM9" s="50"/>
      <c r="DN9" s="50"/>
      <c r="DO9" s="50"/>
      <c r="DP9" s="50"/>
      <c r="DQ9" s="50"/>
      <c r="DR9" s="50"/>
      <c r="DS9" s="50"/>
      <c r="DT9" s="50"/>
      <c r="DU9" s="50"/>
      <c r="DV9" s="50"/>
      <c r="DW9" s="50"/>
    </row>
    <row r="10" spans="1:127" s="46" customFormat="1" ht="30" customHeight="1" thickBot="1" x14ac:dyDescent="0.25">
      <c r="A10" s="14"/>
      <c r="B10" s="51" t="s">
        <v>37</v>
      </c>
      <c r="C10" s="48" t="s">
        <v>39</v>
      </c>
      <c r="D10" s="52">
        <v>1</v>
      </c>
      <c r="E10" s="95">
        <f>F9</f>
        <v>46114</v>
      </c>
      <c r="F10" s="95">
        <f>E10+2</f>
        <v>46116</v>
      </c>
      <c r="G10" s="17"/>
      <c r="H10" s="5">
        <f t="shared" si="52"/>
        <v>3</v>
      </c>
      <c r="I10" s="50"/>
      <c r="J10" s="50"/>
      <c r="K10" s="50"/>
      <c r="L10" s="50"/>
      <c r="M10" s="50"/>
      <c r="N10" s="50"/>
      <c r="O10" s="50"/>
      <c r="P10" s="50"/>
      <c r="Q10" s="50"/>
      <c r="R10" s="50"/>
      <c r="S10" s="50"/>
      <c r="T10" s="50"/>
      <c r="U10" s="53"/>
      <c r="V10" s="53"/>
      <c r="W10" s="50"/>
      <c r="X10" s="50"/>
      <c r="Y10" s="50"/>
      <c r="Z10" s="50"/>
      <c r="AA10" s="50"/>
      <c r="AB10" s="50"/>
      <c r="AC10" s="50"/>
      <c r="AD10" s="50"/>
      <c r="AE10" s="50"/>
      <c r="AF10" s="50"/>
      <c r="AG10" s="50"/>
      <c r="AH10" s="50"/>
      <c r="AI10" s="50"/>
      <c r="AJ10" s="50"/>
      <c r="AK10" s="50"/>
      <c r="AL10" s="50"/>
      <c r="AM10" s="50"/>
      <c r="AN10" s="50"/>
      <c r="AO10" s="50"/>
      <c r="AP10" s="50"/>
      <c r="AQ10" s="50"/>
      <c r="AR10" s="50"/>
      <c r="AS10" s="50"/>
      <c r="AT10" s="50"/>
      <c r="AU10" s="50"/>
      <c r="AV10" s="50"/>
      <c r="AW10" s="50"/>
      <c r="AX10" s="50"/>
      <c r="AY10" s="50"/>
      <c r="AZ10" s="50"/>
      <c r="BA10" s="50"/>
      <c r="BB10" s="50"/>
      <c r="BC10" s="50"/>
      <c r="BD10" s="50"/>
      <c r="BE10" s="50"/>
      <c r="BF10" s="50"/>
      <c r="BG10" s="50"/>
      <c r="BH10" s="50"/>
      <c r="BI10" s="50"/>
      <c r="BJ10" s="50"/>
      <c r="BK10" s="50"/>
      <c r="BL10" s="50"/>
      <c r="BM10" s="50"/>
      <c r="BN10" s="50"/>
      <c r="BO10" s="50"/>
      <c r="BP10" s="50"/>
      <c r="BQ10" s="50"/>
      <c r="BR10" s="50"/>
      <c r="BS10" s="50"/>
      <c r="BT10" s="50"/>
      <c r="BU10" s="50"/>
      <c r="BV10" s="50"/>
      <c r="BW10" s="50"/>
      <c r="BX10" s="50"/>
      <c r="BY10" s="50"/>
      <c r="BZ10" s="50"/>
      <c r="CA10" s="50"/>
      <c r="CB10" s="50"/>
      <c r="CC10" s="50"/>
      <c r="CD10" s="50"/>
      <c r="CE10" s="50"/>
      <c r="CF10" s="50"/>
      <c r="CG10" s="50"/>
      <c r="CH10" s="50"/>
      <c r="CI10" s="50"/>
      <c r="CJ10" s="50"/>
      <c r="CK10" s="50"/>
      <c r="CL10" s="50"/>
      <c r="CM10" s="50"/>
      <c r="CN10" s="50"/>
      <c r="CO10" s="50"/>
      <c r="CP10" s="50"/>
      <c r="CQ10" s="50"/>
      <c r="CR10" s="50"/>
      <c r="CS10" s="50"/>
      <c r="CT10" s="50"/>
      <c r="CU10" s="50"/>
      <c r="CV10" s="50"/>
      <c r="CW10" s="50"/>
      <c r="CX10" s="50"/>
      <c r="CY10" s="50"/>
      <c r="CZ10" s="50"/>
      <c r="DA10" s="50"/>
      <c r="DB10" s="50"/>
      <c r="DC10" s="50"/>
      <c r="DD10" s="50"/>
      <c r="DE10" s="50"/>
      <c r="DF10" s="50"/>
      <c r="DG10" s="50"/>
      <c r="DH10" s="50"/>
      <c r="DI10" s="50"/>
      <c r="DJ10" s="50"/>
      <c r="DK10" s="50"/>
      <c r="DL10" s="50"/>
      <c r="DM10" s="50"/>
      <c r="DN10" s="50"/>
      <c r="DO10" s="50"/>
      <c r="DP10" s="50"/>
      <c r="DQ10" s="50"/>
      <c r="DR10" s="50"/>
      <c r="DS10" s="50"/>
      <c r="DT10" s="50"/>
      <c r="DU10" s="50"/>
      <c r="DV10" s="50"/>
      <c r="DW10" s="50"/>
    </row>
    <row r="11" spans="1:127" s="46" customFormat="1" ht="30" customHeight="1" thickBot="1" x14ac:dyDescent="0.25">
      <c r="A11" s="13"/>
      <c r="B11" s="51" t="s">
        <v>31</v>
      </c>
      <c r="C11" s="48" t="s">
        <v>39</v>
      </c>
      <c r="D11" s="52">
        <v>1</v>
      </c>
      <c r="E11" s="95">
        <f>F10</f>
        <v>46116</v>
      </c>
      <c r="F11" s="95">
        <f>E11+4</f>
        <v>46120</v>
      </c>
      <c r="G11" s="17"/>
      <c r="H11" s="5">
        <f t="shared" si="52"/>
        <v>5</v>
      </c>
      <c r="I11" s="50"/>
      <c r="J11" s="50"/>
      <c r="K11" s="50"/>
      <c r="L11" s="50"/>
      <c r="M11" s="50"/>
      <c r="N11" s="50"/>
      <c r="O11" s="50"/>
      <c r="P11" s="50"/>
      <c r="Q11" s="50"/>
      <c r="R11" s="50"/>
      <c r="S11" s="50"/>
      <c r="T11" s="50"/>
      <c r="U11" s="50"/>
      <c r="V11" s="50"/>
      <c r="W11" s="50"/>
      <c r="X11" s="50"/>
      <c r="Y11" s="50"/>
      <c r="Z11" s="50"/>
      <c r="AA11" s="50"/>
      <c r="AB11" s="50"/>
      <c r="AC11" s="50"/>
      <c r="AD11" s="50"/>
      <c r="AE11" s="50"/>
      <c r="AF11" s="50"/>
      <c r="AG11" s="50"/>
      <c r="AH11" s="50"/>
      <c r="AI11" s="50"/>
      <c r="AJ11" s="50"/>
      <c r="AK11" s="50"/>
      <c r="AL11" s="50"/>
      <c r="AM11" s="50"/>
      <c r="AN11" s="50"/>
      <c r="AO11" s="50"/>
      <c r="AP11" s="50"/>
      <c r="AQ11" s="50"/>
      <c r="AR11" s="50"/>
      <c r="AS11" s="50"/>
      <c r="AT11" s="50"/>
      <c r="AU11" s="50"/>
      <c r="AV11" s="50"/>
      <c r="AW11" s="50"/>
      <c r="AX11" s="50"/>
      <c r="AY11" s="50"/>
      <c r="AZ11" s="50"/>
      <c r="BA11" s="50"/>
      <c r="BB11" s="50"/>
      <c r="BC11" s="50"/>
      <c r="BD11" s="50"/>
      <c r="BE11" s="50"/>
      <c r="BF11" s="50"/>
      <c r="BG11" s="50"/>
      <c r="BH11" s="50"/>
      <c r="BI11" s="50"/>
      <c r="BJ11" s="50"/>
      <c r="BK11" s="50"/>
      <c r="BL11" s="50"/>
      <c r="BM11" s="50"/>
      <c r="BN11" s="50"/>
      <c r="BO11" s="50"/>
      <c r="BP11" s="50"/>
      <c r="BQ11" s="50"/>
      <c r="BR11" s="50"/>
      <c r="BS11" s="50"/>
      <c r="BT11" s="50"/>
      <c r="BU11" s="50"/>
      <c r="BV11" s="50"/>
      <c r="BW11" s="50"/>
      <c r="BX11" s="50"/>
      <c r="BY11" s="50"/>
      <c r="BZ11" s="50"/>
      <c r="CA11" s="50"/>
      <c r="CB11" s="50"/>
      <c r="CC11" s="50"/>
      <c r="CD11" s="50"/>
      <c r="CE11" s="50"/>
      <c r="CF11" s="50"/>
      <c r="CG11" s="50"/>
      <c r="CH11" s="50"/>
      <c r="CI11" s="50"/>
      <c r="CJ11" s="50"/>
      <c r="CK11" s="50"/>
      <c r="CL11" s="50"/>
      <c r="CM11" s="50"/>
      <c r="CN11" s="50"/>
      <c r="CO11" s="50"/>
      <c r="CP11" s="50"/>
      <c r="CQ11" s="50"/>
      <c r="CR11" s="50"/>
      <c r="CS11" s="50"/>
      <c r="CT11" s="50"/>
      <c r="CU11" s="50"/>
      <c r="CV11" s="50"/>
      <c r="CW11" s="50"/>
      <c r="CX11" s="50"/>
      <c r="CY11" s="50"/>
      <c r="CZ11" s="50"/>
      <c r="DA11" s="50"/>
      <c r="DB11" s="50"/>
      <c r="DC11" s="50"/>
      <c r="DD11" s="50"/>
      <c r="DE11" s="50"/>
      <c r="DF11" s="50"/>
      <c r="DG11" s="50"/>
      <c r="DH11" s="50"/>
      <c r="DI11" s="50"/>
      <c r="DJ11" s="50"/>
      <c r="DK11" s="50"/>
      <c r="DL11" s="50"/>
      <c r="DM11" s="50"/>
      <c r="DN11" s="50"/>
      <c r="DO11" s="50"/>
      <c r="DP11" s="50"/>
      <c r="DQ11" s="50"/>
      <c r="DR11" s="50"/>
      <c r="DS11" s="50"/>
      <c r="DT11" s="50"/>
      <c r="DU11" s="50"/>
      <c r="DV11" s="50"/>
      <c r="DW11" s="50"/>
    </row>
    <row r="12" spans="1:127" s="46" customFormat="1" ht="30" customHeight="1" thickBot="1" x14ac:dyDescent="0.25">
      <c r="A12" s="13"/>
      <c r="B12" s="51" t="s">
        <v>38</v>
      </c>
      <c r="C12" s="48" t="s">
        <v>39</v>
      </c>
      <c r="D12" s="52">
        <v>1</v>
      </c>
      <c r="E12" s="95">
        <f>F11</f>
        <v>46120</v>
      </c>
      <c r="F12" s="95">
        <v>46125</v>
      </c>
      <c r="G12" s="17"/>
      <c r="H12" s="5"/>
      <c r="I12" s="50"/>
      <c r="J12" s="50"/>
      <c r="K12" s="50"/>
      <c r="L12" s="50"/>
      <c r="M12" s="50"/>
      <c r="N12" s="50"/>
      <c r="O12" s="50"/>
      <c r="P12" s="50"/>
      <c r="Q12" s="50"/>
      <c r="R12" s="50"/>
      <c r="S12" s="50"/>
      <c r="T12" s="50"/>
      <c r="U12" s="50"/>
      <c r="V12" s="50"/>
      <c r="W12" s="50"/>
      <c r="X12" s="50"/>
      <c r="Y12" s="50"/>
      <c r="Z12" s="50"/>
      <c r="AA12" s="50"/>
      <c r="AB12" s="50"/>
      <c r="AC12" s="50"/>
      <c r="AD12" s="50"/>
      <c r="AE12" s="50"/>
      <c r="AF12" s="50"/>
      <c r="AG12" s="50"/>
      <c r="AH12" s="50"/>
      <c r="AI12" s="50"/>
      <c r="AJ12" s="50"/>
      <c r="AK12" s="50"/>
      <c r="AL12" s="50"/>
      <c r="AM12" s="50"/>
      <c r="AN12" s="50"/>
      <c r="AO12" s="50"/>
      <c r="AP12" s="50"/>
      <c r="AQ12" s="50"/>
      <c r="AR12" s="50"/>
      <c r="AS12" s="50"/>
      <c r="AT12" s="50"/>
      <c r="AU12" s="50"/>
      <c r="AV12" s="50"/>
      <c r="AW12" s="50"/>
      <c r="AX12" s="50"/>
      <c r="AY12" s="50"/>
      <c r="AZ12" s="50"/>
      <c r="BA12" s="50"/>
      <c r="BB12" s="50"/>
      <c r="BC12" s="50"/>
      <c r="BD12" s="50"/>
      <c r="BE12" s="50"/>
      <c r="BF12" s="50"/>
      <c r="BG12" s="50"/>
      <c r="BH12" s="50"/>
      <c r="BI12" s="50"/>
      <c r="BJ12" s="50"/>
      <c r="BK12" s="50"/>
      <c r="BL12" s="50"/>
      <c r="BM12" s="50"/>
      <c r="BN12" s="50"/>
      <c r="BO12" s="50"/>
      <c r="BP12" s="50"/>
      <c r="BQ12" s="50"/>
      <c r="BR12" s="50"/>
      <c r="BS12" s="50"/>
      <c r="BT12" s="50"/>
      <c r="BU12" s="50"/>
      <c r="BV12" s="50"/>
      <c r="BW12" s="50"/>
      <c r="BX12" s="50"/>
      <c r="BY12" s="50"/>
      <c r="BZ12" s="50"/>
      <c r="CA12" s="50"/>
      <c r="CB12" s="50"/>
      <c r="CC12" s="50"/>
      <c r="CD12" s="50"/>
      <c r="CE12" s="50"/>
      <c r="CF12" s="50"/>
      <c r="CG12" s="50"/>
      <c r="CH12" s="50"/>
      <c r="CI12" s="50"/>
      <c r="CJ12" s="50"/>
      <c r="CK12" s="50"/>
      <c r="CL12" s="50"/>
      <c r="CM12" s="50"/>
      <c r="CN12" s="50"/>
      <c r="CO12" s="50"/>
      <c r="CP12" s="50"/>
      <c r="CQ12" s="50"/>
      <c r="CR12" s="50"/>
      <c r="CS12" s="50"/>
      <c r="CT12" s="50"/>
      <c r="CU12" s="50"/>
      <c r="CV12" s="50"/>
      <c r="CW12" s="50"/>
      <c r="CX12" s="50"/>
      <c r="CY12" s="50"/>
      <c r="CZ12" s="50"/>
      <c r="DA12" s="50"/>
      <c r="DB12" s="50"/>
      <c r="DC12" s="50"/>
      <c r="DD12" s="50"/>
      <c r="DE12" s="50"/>
      <c r="DF12" s="50"/>
      <c r="DG12" s="50"/>
      <c r="DH12" s="50"/>
      <c r="DI12" s="50"/>
      <c r="DJ12" s="50"/>
      <c r="DK12" s="50"/>
      <c r="DL12" s="50"/>
      <c r="DM12" s="50"/>
      <c r="DN12" s="50"/>
      <c r="DO12" s="50"/>
      <c r="DP12" s="50"/>
      <c r="DQ12" s="50"/>
      <c r="DR12" s="50"/>
      <c r="DS12" s="50"/>
      <c r="DT12" s="50"/>
      <c r="DU12" s="50"/>
      <c r="DV12" s="50"/>
      <c r="DW12" s="50"/>
    </row>
    <row r="13" spans="1:127" s="46" customFormat="1" ht="30" customHeight="1" thickBot="1" x14ac:dyDescent="0.25">
      <c r="A13" s="13"/>
      <c r="B13" s="105" t="s">
        <v>49</v>
      </c>
      <c r="C13" s="48" t="s">
        <v>39</v>
      </c>
      <c r="D13" s="52">
        <v>1</v>
      </c>
      <c r="E13" s="95">
        <f>F12</f>
        <v>46125</v>
      </c>
      <c r="F13" s="95">
        <v>46125</v>
      </c>
      <c r="G13" s="17"/>
      <c r="H13" s="5">
        <f t="shared" si="52"/>
        <v>1</v>
      </c>
      <c r="I13" s="50"/>
      <c r="J13" s="50"/>
      <c r="K13" s="50"/>
      <c r="L13" s="50"/>
      <c r="M13" s="50"/>
      <c r="N13" s="50"/>
      <c r="O13" s="50"/>
      <c r="P13" s="50"/>
      <c r="Q13" s="50"/>
      <c r="R13" s="50"/>
      <c r="S13" s="50"/>
      <c r="T13" s="50"/>
      <c r="U13" s="50"/>
      <c r="V13" s="50"/>
      <c r="W13" s="50"/>
      <c r="X13" s="50"/>
      <c r="Y13" s="53"/>
      <c r="Z13" s="50"/>
      <c r="AA13" s="50"/>
      <c r="AB13" s="50"/>
      <c r="AC13" s="50"/>
      <c r="AD13" s="50"/>
      <c r="AE13" s="50"/>
      <c r="AF13" s="50"/>
      <c r="AG13" s="50"/>
      <c r="AH13" s="50"/>
      <c r="AI13" s="50"/>
      <c r="AJ13" s="50"/>
      <c r="AK13" s="50"/>
      <c r="AL13" s="50"/>
      <c r="AM13" s="50"/>
      <c r="AN13" s="50"/>
      <c r="AO13" s="50"/>
      <c r="AP13" s="50"/>
      <c r="AQ13" s="50"/>
      <c r="AR13" s="50"/>
      <c r="AS13" s="50"/>
      <c r="AT13" s="50"/>
      <c r="AU13" s="50"/>
      <c r="AV13" s="50"/>
      <c r="AW13" s="50"/>
      <c r="AX13" s="50"/>
      <c r="AY13" s="50"/>
      <c r="AZ13" s="50"/>
      <c r="BA13" s="50"/>
      <c r="BB13" s="50"/>
      <c r="BC13" s="50"/>
      <c r="BD13" s="50"/>
      <c r="BE13" s="50"/>
      <c r="BF13" s="50"/>
      <c r="BG13" s="50"/>
      <c r="BH13" s="50"/>
      <c r="BI13" s="50"/>
      <c r="BJ13" s="50"/>
      <c r="BK13" s="50"/>
      <c r="BL13" s="50"/>
      <c r="BM13" s="50"/>
      <c r="BN13" s="50"/>
      <c r="BO13" s="50"/>
      <c r="BP13" s="50"/>
      <c r="BQ13" s="50"/>
      <c r="BR13" s="50"/>
      <c r="BS13" s="50"/>
      <c r="BT13" s="50"/>
      <c r="BU13" s="50"/>
      <c r="BV13" s="50"/>
      <c r="BW13" s="50"/>
      <c r="BX13" s="50"/>
      <c r="BY13" s="50"/>
      <c r="BZ13" s="50"/>
      <c r="CA13" s="50"/>
      <c r="CB13" s="50"/>
      <c r="CC13" s="50"/>
      <c r="CD13" s="50"/>
      <c r="CE13" s="50"/>
      <c r="CF13" s="50"/>
      <c r="CG13" s="50"/>
      <c r="CH13" s="50"/>
      <c r="CI13" s="50"/>
      <c r="CJ13" s="50"/>
      <c r="CK13" s="50"/>
      <c r="CL13" s="50"/>
      <c r="CM13" s="50"/>
      <c r="CN13" s="50"/>
      <c r="CO13" s="50"/>
      <c r="CP13" s="50"/>
      <c r="CQ13" s="50"/>
      <c r="CR13" s="50"/>
      <c r="CS13" s="50"/>
      <c r="CT13" s="50"/>
      <c r="CU13" s="50"/>
      <c r="CV13" s="50"/>
      <c r="CW13" s="50"/>
      <c r="CX13" s="50"/>
      <c r="CY13" s="50"/>
      <c r="CZ13" s="50"/>
      <c r="DA13" s="50"/>
      <c r="DB13" s="50"/>
      <c r="DC13" s="50"/>
      <c r="DD13" s="50"/>
      <c r="DE13" s="50"/>
      <c r="DF13" s="50"/>
      <c r="DG13" s="50"/>
      <c r="DH13" s="50"/>
      <c r="DI13" s="50"/>
      <c r="DJ13" s="50"/>
      <c r="DK13" s="50"/>
      <c r="DL13" s="50"/>
      <c r="DM13" s="50"/>
      <c r="DN13" s="50"/>
      <c r="DO13" s="50"/>
      <c r="DP13" s="50"/>
      <c r="DQ13" s="50"/>
      <c r="DR13" s="50"/>
      <c r="DS13" s="50"/>
      <c r="DT13" s="50"/>
      <c r="DU13" s="50"/>
      <c r="DV13" s="50"/>
      <c r="DW13" s="50"/>
    </row>
    <row r="14" spans="1:127" s="46" customFormat="1" ht="30" customHeight="1" thickBot="1" x14ac:dyDescent="0.25">
      <c r="A14" s="14"/>
      <c r="B14" s="54" t="s">
        <v>26</v>
      </c>
      <c r="C14" s="55"/>
      <c r="D14" s="56"/>
      <c r="E14" s="96"/>
      <c r="F14" s="97"/>
      <c r="G14" s="17"/>
      <c r="H14" s="5" t="str">
        <f t="shared" si="52"/>
        <v/>
      </c>
    </row>
    <row r="15" spans="1:127" s="46" customFormat="1" ht="30" customHeight="1" thickBot="1" x14ac:dyDescent="0.25">
      <c r="A15" s="14"/>
      <c r="B15" s="57" t="s">
        <v>33</v>
      </c>
      <c r="C15" s="58" t="s">
        <v>39</v>
      </c>
      <c r="D15" s="59">
        <v>1</v>
      </c>
      <c r="E15" s="98">
        <v>46126</v>
      </c>
      <c r="F15" s="98">
        <v>46128</v>
      </c>
      <c r="G15" s="17"/>
      <c r="H15" s="5">
        <f t="shared" si="52"/>
        <v>3</v>
      </c>
      <c r="I15" s="50"/>
      <c r="J15" s="50"/>
      <c r="K15" s="50"/>
      <c r="L15" s="50"/>
      <c r="M15" s="50"/>
      <c r="N15" s="50"/>
      <c r="O15" s="50"/>
      <c r="P15" s="50"/>
      <c r="Q15" s="50"/>
      <c r="R15" s="50"/>
      <c r="S15" s="50"/>
      <c r="T15" s="50"/>
      <c r="U15" s="50"/>
      <c r="V15" s="50"/>
      <c r="W15" s="50"/>
      <c r="X15" s="50"/>
      <c r="Y15" s="50"/>
      <c r="Z15" s="50"/>
      <c r="AA15" s="50"/>
      <c r="AB15" s="50"/>
      <c r="AC15" s="50"/>
      <c r="AD15" s="50"/>
      <c r="AE15" s="50"/>
      <c r="AF15" s="50"/>
      <c r="AG15" s="50"/>
      <c r="AH15" s="50"/>
      <c r="AI15" s="50"/>
      <c r="AJ15" s="50"/>
      <c r="AK15" s="50"/>
      <c r="AL15" s="50"/>
      <c r="AM15" s="50"/>
      <c r="AN15" s="50"/>
      <c r="AO15" s="50"/>
      <c r="AP15" s="50"/>
      <c r="AQ15" s="50"/>
      <c r="AR15" s="50"/>
      <c r="AS15" s="50"/>
      <c r="AT15" s="50"/>
      <c r="AU15" s="50"/>
      <c r="AV15" s="50"/>
      <c r="AW15" s="50"/>
      <c r="AX15" s="50"/>
      <c r="AY15" s="50"/>
      <c r="AZ15" s="50"/>
      <c r="BA15" s="50"/>
      <c r="BB15" s="50"/>
      <c r="BC15" s="50"/>
      <c r="BD15" s="50"/>
      <c r="BE15" s="50"/>
      <c r="BF15" s="50"/>
      <c r="BG15" s="50"/>
      <c r="BH15" s="50"/>
      <c r="BI15" s="50"/>
      <c r="BJ15" s="50"/>
      <c r="BK15" s="50"/>
      <c r="BL15" s="50"/>
      <c r="BM15" s="50"/>
      <c r="BN15" s="50"/>
      <c r="BO15" s="50"/>
      <c r="BP15" s="50"/>
      <c r="BQ15" s="50"/>
      <c r="BR15" s="50"/>
      <c r="BS15" s="50"/>
      <c r="BT15" s="50"/>
      <c r="BU15" s="50"/>
      <c r="BV15" s="50"/>
      <c r="BW15" s="50"/>
      <c r="BX15" s="50"/>
      <c r="BY15" s="50"/>
      <c r="BZ15" s="50"/>
      <c r="CA15" s="50"/>
      <c r="CB15" s="50"/>
      <c r="CC15" s="50"/>
      <c r="CD15" s="50"/>
      <c r="CE15" s="50"/>
      <c r="CF15" s="50"/>
      <c r="CG15" s="50"/>
      <c r="CH15" s="50"/>
      <c r="CI15" s="50"/>
      <c r="CJ15" s="50"/>
      <c r="CK15" s="50"/>
      <c r="CL15" s="50"/>
      <c r="CM15" s="50"/>
      <c r="CN15" s="50"/>
      <c r="CO15" s="50"/>
      <c r="CP15" s="50"/>
      <c r="CQ15" s="50"/>
      <c r="CR15" s="50"/>
      <c r="CS15" s="50"/>
      <c r="CT15" s="50"/>
      <c r="CU15" s="50"/>
      <c r="CV15" s="50"/>
      <c r="CW15" s="50"/>
      <c r="CX15" s="50"/>
      <c r="CY15" s="50"/>
      <c r="CZ15" s="50"/>
      <c r="DA15" s="50"/>
      <c r="DB15" s="50"/>
      <c r="DC15" s="50"/>
      <c r="DD15" s="50"/>
      <c r="DE15" s="50"/>
      <c r="DF15" s="50"/>
      <c r="DG15" s="50"/>
      <c r="DH15" s="50"/>
      <c r="DI15" s="50"/>
      <c r="DJ15" s="50"/>
      <c r="DK15" s="50"/>
      <c r="DL15" s="50"/>
      <c r="DM15" s="50"/>
      <c r="DN15" s="50"/>
      <c r="DO15" s="50"/>
      <c r="DP15" s="50"/>
      <c r="DQ15" s="50"/>
      <c r="DR15" s="50"/>
      <c r="DS15" s="50"/>
      <c r="DT15" s="50"/>
      <c r="DU15" s="50"/>
      <c r="DV15" s="50"/>
      <c r="DW15" s="50"/>
    </row>
    <row r="16" spans="1:127" s="46" customFormat="1" ht="30" customHeight="1" thickBot="1" x14ac:dyDescent="0.25">
      <c r="A16" s="13"/>
      <c r="B16" s="57" t="s">
        <v>35</v>
      </c>
      <c r="C16" s="58" t="s">
        <v>39</v>
      </c>
      <c r="D16" s="59">
        <v>1</v>
      </c>
      <c r="E16" s="98">
        <f>F15</f>
        <v>46128</v>
      </c>
      <c r="F16" s="98">
        <v>46130</v>
      </c>
      <c r="G16" s="17"/>
      <c r="H16" s="5">
        <f t="shared" si="52"/>
        <v>3</v>
      </c>
      <c r="I16" s="50"/>
      <c r="J16" s="50"/>
      <c r="K16" s="50"/>
      <c r="L16" s="50"/>
      <c r="M16" s="50"/>
      <c r="N16" s="50"/>
      <c r="O16" s="50"/>
      <c r="P16" s="50"/>
      <c r="Q16" s="50"/>
      <c r="R16" s="50"/>
      <c r="S16" s="50"/>
      <c r="T16" s="50"/>
      <c r="U16" s="53"/>
      <c r="V16" s="53"/>
      <c r="W16" s="50"/>
      <c r="X16" s="50"/>
      <c r="Y16" s="50"/>
      <c r="Z16" s="50"/>
      <c r="AA16" s="50"/>
      <c r="AB16" s="50"/>
      <c r="AC16" s="50"/>
      <c r="AD16" s="50"/>
      <c r="AE16" s="50"/>
      <c r="AF16" s="50"/>
      <c r="AG16" s="50"/>
      <c r="AH16" s="50"/>
      <c r="AI16" s="50"/>
      <c r="AJ16" s="50"/>
      <c r="AK16" s="50"/>
      <c r="AL16" s="50"/>
      <c r="AM16" s="50"/>
      <c r="AN16" s="50"/>
      <c r="AO16" s="50"/>
      <c r="AP16" s="50"/>
      <c r="AQ16" s="50"/>
      <c r="AR16" s="50"/>
      <c r="AS16" s="50"/>
      <c r="AT16" s="50"/>
      <c r="AU16" s="50"/>
      <c r="AV16" s="50"/>
      <c r="AW16" s="50"/>
      <c r="AX16" s="50"/>
      <c r="AY16" s="50"/>
      <c r="AZ16" s="50"/>
      <c r="BA16" s="50"/>
      <c r="BB16" s="50"/>
      <c r="BC16" s="50"/>
      <c r="BD16" s="50"/>
      <c r="BE16" s="50"/>
      <c r="BF16" s="50"/>
      <c r="BG16" s="50"/>
      <c r="BH16" s="50"/>
      <c r="BI16" s="50"/>
      <c r="BJ16" s="50"/>
      <c r="BK16" s="50"/>
      <c r="BL16" s="50"/>
      <c r="BM16" s="50"/>
      <c r="BN16" s="50"/>
      <c r="BO16" s="50"/>
      <c r="BP16" s="50"/>
      <c r="BQ16" s="50"/>
      <c r="BR16" s="50"/>
      <c r="BS16" s="50"/>
      <c r="BT16" s="50"/>
      <c r="BU16" s="50"/>
      <c r="BV16" s="50"/>
      <c r="BW16" s="50"/>
      <c r="BX16" s="50"/>
      <c r="BY16" s="50"/>
      <c r="BZ16" s="50"/>
      <c r="CA16" s="50"/>
      <c r="CB16" s="50"/>
      <c r="CC16" s="50"/>
      <c r="CD16" s="50"/>
      <c r="CE16" s="50"/>
      <c r="CF16" s="50"/>
      <c r="CG16" s="50"/>
      <c r="CH16" s="50"/>
      <c r="CI16" s="50"/>
      <c r="CJ16" s="50"/>
      <c r="CK16" s="50"/>
      <c r="CL16" s="50"/>
      <c r="CM16" s="50"/>
      <c r="CN16" s="50"/>
      <c r="CO16" s="50"/>
      <c r="CP16" s="50"/>
      <c r="CQ16" s="50"/>
      <c r="CR16" s="50"/>
      <c r="CS16" s="50"/>
      <c r="CT16" s="50"/>
      <c r="CU16" s="50"/>
      <c r="CV16" s="50"/>
      <c r="CW16" s="50"/>
      <c r="CX16" s="50"/>
      <c r="CY16" s="50"/>
      <c r="CZ16" s="50"/>
      <c r="DA16" s="50"/>
      <c r="DB16" s="50"/>
      <c r="DC16" s="50"/>
      <c r="DD16" s="50"/>
      <c r="DE16" s="50"/>
      <c r="DF16" s="50"/>
      <c r="DG16" s="50"/>
      <c r="DH16" s="50"/>
      <c r="DI16" s="50"/>
      <c r="DJ16" s="50"/>
      <c r="DK16" s="50"/>
      <c r="DL16" s="50"/>
      <c r="DM16" s="50"/>
      <c r="DN16" s="50"/>
      <c r="DO16" s="50"/>
      <c r="DP16" s="50"/>
      <c r="DQ16" s="50"/>
      <c r="DR16" s="50"/>
      <c r="DS16" s="50"/>
      <c r="DT16" s="50"/>
      <c r="DU16" s="50"/>
      <c r="DV16" s="50"/>
      <c r="DW16" s="50"/>
    </row>
    <row r="17" spans="1:127" s="46" customFormat="1" ht="30" customHeight="1" thickBot="1" x14ac:dyDescent="0.25">
      <c r="A17" s="13"/>
      <c r="B17" s="57" t="s">
        <v>34</v>
      </c>
      <c r="C17" s="58" t="s">
        <v>39</v>
      </c>
      <c r="D17" s="59">
        <v>1</v>
      </c>
      <c r="E17" s="98">
        <f>F16</f>
        <v>46130</v>
      </c>
      <c r="F17" s="98">
        <v>46137</v>
      </c>
      <c r="G17" s="17"/>
      <c r="H17" s="5">
        <f t="shared" si="52"/>
        <v>8</v>
      </c>
      <c r="I17" s="50"/>
      <c r="J17" s="50"/>
      <c r="K17" s="50"/>
      <c r="L17" s="50"/>
      <c r="M17" s="50"/>
      <c r="N17" s="50"/>
      <c r="O17" s="50"/>
      <c r="P17" s="50"/>
      <c r="Q17" s="50"/>
      <c r="R17" s="50"/>
      <c r="S17" s="50"/>
      <c r="T17" s="50"/>
      <c r="U17" s="50"/>
      <c r="V17" s="50"/>
      <c r="W17" s="50"/>
      <c r="X17" s="50"/>
      <c r="Y17" s="50"/>
      <c r="Z17" s="50"/>
      <c r="AA17" s="50"/>
      <c r="AB17" s="50"/>
      <c r="AC17" s="50"/>
      <c r="AD17" s="50"/>
      <c r="AE17" s="50"/>
      <c r="AF17" s="50"/>
      <c r="AG17" s="50"/>
      <c r="AH17" s="50"/>
      <c r="AI17" s="50"/>
      <c r="AJ17" s="50"/>
      <c r="AK17" s="50"/>
      <c r="AL17" s="50"/>
      <c r="AM17" s="50"/>
      <c r="AN17" s="50"/>
      <c r="AO17" s="50"/>
      <c r="AP17" s="50"/>
      <c r="AQ17" s="50"/>
      <c r="AR17" s="50"/>
      <c r="AS17" s="50"/>
      <c r="AT17" s="50"/>
      <c r="AU17" s="50"/>
      <c r="AV17" s="50"/>
      <c r="AW17" s="50"/>
      <c r="AX17" s="50"/>
      <c r="AY17" s="50"/>
      <c r="AZ17" s="50"/>
      <c r="BA17" s="50"/>
      <c r="BB17" s="50"/>
      <c r="BC17" s="50"/>
      <c r="BD17" s="50"/>
      <c r="BE17" s="50"/>
      <c r="BF17" s="50"/>
      <c r="BG17" s="50"/>
      <c r="BH17" s="50"/>
      <c r="BI17" s="50"/>
      <c r="BJ17" s="50"/>
      <c r="BK17" s="50"/>
      <c r="BL17" s="50"/>
      <c r="BM17" s="50"/>
      <c r="BN17" s="50"/>
      <c r="BO17" s="50"/>
      <c r="BP17" s="50"/>
      <c r="BQ17" s="50"/>
      <c r="BR17" s="50"/>
      <c r="BS17" s="50"/>
      <c r="BT17" s="50"/>
      <c r="BU17" s="50"/>
      <c r="BV17" s="50"/>
      <c r="BW17" s="50"/>
      <c r="BX17" s="50"/>
      <c r="BY17" s="50"/>
      <c r="BZ17" s="50"/>
      <c r="CA17" s="50"/>
      <c r="CB17" s="50"/>
      <c r="CC17" s="50"/>
      <c r="CD17" s="50"/>
      <c r="CE17" s="50"/>
      <c r="CF17" s="50"/>
      <c r="CG17" s="50"/>
      <c r="CH17" s="50"/>
      <c r="CI17" s="50"/>
      <c r="CJ17" s="50"/>
      <c r="CK17" s="50"/>
      <c r="CL17" s="50"/>
      <c r="CM17" s="50"/>
      <c r="CN17" s="50"/>
      <c r="CO17" s="50"/>
      <c r="CP17" s="50"/>
      <c r="CQ17" s="50"/>
      <c r="CR17" s="50"/>
      <c r="CS17" s="50"/>
      <c r="CT17" s="50"/>
      <c r="CU17" s="50"/>
      <c r="CV17" s="50"/>
      <c r="CW17" s="50"/>
      <c r="CX17" s="50"/>
      <c r="CY17" s="50"/>
      <c r="CZ17" s="50"/>
      <c r="DA17" s="50"/>
      <c r="DB17" s="50"/>
      <c r="DC17" s="50"/>
      <c r="DD17" s="50"/>
      <c r="DE17" s="50"/>
      <c r="DF17" s="50"/>
      <c r="DG17" s="50"/>
      <c r="DH17" s="50"/>
      <c r="DI17" s="50"/>
      <c r="DJ17" s="50"/>
      <c r="DK17" s="50"/>
      <c r="DL17" s="50"/>
      <c r="DM17" s="50"/>
      <c r="DN17" s="50"/>
      <c r="DO17" s="50"/>
      <c r="DP17" s="50"/>
      <c r="DQ17" s="50"/>
      <c r="DR17" s="50"/>
      <c r="DS17" s="50"/>
      <c r="DT17" s="50"/>
      <c r="DU17" s="50"/>
      <c r="DV17" s="50"/>
      <c r="DW17" s="50"/>
    </row>
    <row r="18" spans="1:127" s="46" customFormat="1" ht="30" customHeight="1" thickBot="1" x14ac:dyDescent="0.25">
      <c r="A18" s="13"/>
      <c r="B18" s="57" t="s">
        <v>36</v>
      </c>
      <c r="C18" s="58" t="s">
        <v>39</v>
      </c>
      <c r="D18" s="59">
        <v>1</v>
      </c>
      <c r="E18" s="98">
        <f>F17+1</f>
        <v>46138</v>
      </c>
      <c r="F18" s="98">
        <v>46152</v>
      </c>
      <c r="G18" s="17"/>
      <c r="H18" s="5"/>
      <c r="I18" s="50"/>
      <c r="J18" s="50"/>
      <c r="K18" s="50"/>
      <c r="L18" s="50"/>
      <c r="M18" s="50"/>
      <c r="N18" s="50"/>
      <c r="O18" s="50"/>
      <c r="P18" s="50"/>
      <c r="Q18" s="50"/>
      <c r="R18" s="50"/>
      <c r="S18" s="50"/>
      <c r="T18" s="50"/>
      <c r="U18" s="50"/>
      <c r="V18" s="50"/>
      <c r="W18" s="50"/>
      <c r="X18" s="50"/>
      <c r="Y18" s="50"/>
      <c r="Z18" s="50"/>
      <c r="AA18" s="50"/>
      <c r="AB18" s="50"/>
      <c r="AC18" s="50"/>
      <c r="AD18" s="50"/>
      <c r="AE18" s="50"/>
      <c r="AF18" s="50"/>
      <c r="AG18" s="50"/>
      <c r="AH18" s="50"/>
      <c r="AI18" s="50"/>
      <c r="AJ18" s="50"/>
      <c r="AK18" s="50"/>
      <c r="AL18" s="50"/>
      <c r="AM18" s="50"/>
      <c r="AN18" s="50"/>
      <c r="AO18" s="50"/>
      <c r="AP18" s="50"/>
      <c r="AQ18" s="50"/>
      <c r="AR18" s="50"/>
      <c r="AS18" s="50"/>
      <c r="AT18" s="50"/>
      <c r="AU18" s="50"/>
      <c r="AV18" s="50"/>
      <c r="AW18" s="50"/>
      <c r="AX18" s="50"/>
      <c r="AY18" s="50"/>
      <c r="AZ18" s="50"/>
      <c r="BA18" s="50"/>
      <c r="BB18" s="50"/>
      <c r="BC18" s="50"/>
      <c r="BD18" s="50"/>
      <c r="BE18" s="50"/>
      <c r="BF18" s="50"/>
      <c r="BG18" s="50"/>
      <c r="BH18" s="50"/>
      <c r="BI18" s="50"/>
      <c r="BJ18" s="50"/>
      <c r="BK18" s="50"/>
      <c r="BL18" s="50"/>
      <c r="BM18" s="50"/>
      <c r="BN18" s="50"/>
      <c r="BO18" s="50"/>
      <c r="BP18" s="50"/>
      <c r="BQ18" s="50"/>
      <c r="BR18" s="50"/>
      <c r="BS18" s="50"/>
      <c r="BT18" s="50"/>
      <c r="BU18" s="50"/>
      <c r="BV18" s="50"/>
      <c r="BW18" s="50"/>
      <c r="BX18" s="50"/>
      <c r="BY18" s="50"/>
      <c r="BZ18" s="50"/>
      <c r="CA18" s="50"/>
      <c r="CB18" s="50"/>
      <c r="CC18" s="50"/>
      <c r="CD18" s="50"/>
      <c r="CE18" s="50"/>
      <c r="CF18" s="50"/>
      <c r="CG18" s="50"/>
      <c r="CH18" s="50"/>
      <c r="CI18" s="50"/>
      <c r="CJ18" s="50"/>
      <c r="CK18" s="50"/>
      <c r="CL18" s="50"/>
      <c r="CM18" s="50"/>
      <c r="CN18" s="50"/>
      <c r="CO18" s="50"/>
      <c r="CP18" s="50"/>
      <c r="CQ18" s="50"/>
      <c r="CR18" s="50"/>
      <c r="CS18" s="50"/>
      <c r="CT18" s="50"/>
      <c r="CU18" s="50"/>
      <c r="CV18" s="50"/>
      <c r="CW18" s="50"/>
      <c r="CX18" s="50"/>
      <c r="CY18" s="50"/>
      <c r="CZ18" s="50"/>
      <c r="DA18" s="50"/>
      <c r="DB18" s="50"/>
      <c r="DC18" s="50"/>
      <c r="DD18" s="50"/>
      <c r="DE18" s="50"/>
      <c r="DF18" s="50"/>
      <c r="DG18" s="50"/>
      <c r="DH18" s="50"/>
      <c r="DI18" s="50"/>
      <c r="DJ18" s="50"/>
      <c r="DK18" s="50"/>
      <c r="DL18" s="50"/>
      <c r="DM18" s="50"/>
      <c r="DN18" s="50"/>
      <c r="DO18" s="50"/>
      <c r="DP18" s="50"/>
      <c r="DQ18" s="50"/>
      <c r="DR18" s="50"/>
      <c r="DS18" s="50"/>
      <c r="DT18" s="50"/>
      <c r="DU18" s="50"/>
      <c r="DV18" s="50"/>
      <c r="DW18" s="50"/>
    </row>
    <row r="19" spans="1:127" s="46" customFormat="1" ht="30" customHeight="1" thickBot="1" x14ac:dyDescent="0.25">
      <c r="A19" s="13"/>
      <c r="B19" s="108" t="s">
        <v>49</v>
      </c>
      <c r="C19" s="58" t="s">
        <v>39</v>
      </c>
      <c r="D19" s="59">
        <v>1</v>
      </c>
      <c r="E19" s="98">
        <f>F18</f>
        <v>46152</v>
      </c>
      <c r="F19" s="98">
        <v>46152</v>
      </c>
      <c r="G19" s="17"/>
      <c r="H19" s="5"/>
      <c r="I19" s="50"/>
      <c r="J19" s="50"/>
      <c r="K19" s="50"/>
      <c r="L19" s="50"/>
      <c r="M19" s="50"/>
      <c r="N19" s="50"/>
      <c r="O19" s="50"/>
      <c r="P19" s="50"/>
      <c r="Q19" s="50"/>
      <c r="R19" s="50"/>
      <c r="S19" s="50"/>
      <c r="T19" s="50"/>
      <c r="U19" s="50"/>
      <c r="V19" s="50"/>
      <c r="W19" s="50"/>
      <c r="X19" s="50"/>
      <c r="Y19" s="50"/>
      <c r="Z19" s="50"/>
      <c r="AA19" s="50"/>
      <c r="AB19" s="50"/>
      <c r="AC19" s="50"/>
      <c r="AD19" s="50"/>
      <c r="AE19" s="50"/>
      <c r="AF19" s="50"/>
      <c r="AG19" s="50"/>
      <c r="AH19" s="50"/>
      <c r="AI19" s="50"/>
      <c r="AJ19" s="50"/>
      <c r="AK19" s="50"/>
      <c r="AL19" s="50"/>
      <c r="AM19" s="50"/>
      <c r="AN19" s="50"/>
      <c r="AO19" s="50"/>
      <c r="AP19" s="50"/>
      <c r="AQ19" s="50"/>
      <c r="AR19" s="50"/>
      <c r="AS19" s="50"/>
      <c r="AT19" s="50"/>
      <c r="AU19" s="50"/>
      <c r="AV19" s="50"/>
      <c r="AW19" s="50"/>
      <c r="AX19" s="50"/>
      <c r="AY19" s="50"/>
      <c r="AZ19" s="50"/>
      <c r="BA19" s="50"/>
      <c r="BB19" s="50"/>
      <c r="BC19" s="50"/>
      <c r="BD19" s="50"/>
      <c r="BE19" s="50"/>
      <c r="BF19" s="50"/>
      <c r="BG19" s="50"/>
      <c r="BH19" s="50"/>
      <c r="BI19" s="50"/>
      <c r="BJ19" s="50"/>
      <c r="BK19" s="50"/>
      <c r="BL19" s="50"/>
      <c r="BM19" s="50"/>
      <c r="BN19" s="50"/>
      <c r="BO19" s="50"/>
      <c r="BP19" s="50"/>
      <c r="BQ19" s="50"/>
      <c r="BR19" s="50"/>
      <c r="BS19" s="50"/>
      <c r="BT19" s="50"/>
      <c r="BU19" s="50"/>
      <c r="BV19" s="50"/>
      <c r="BW19" s="50"/>
      <c r="BX19" s="50"/>
      <c r="BY19" s="50"/>
      <c r="BZ19" s="50"/>
      <c r="CA19" s="50"/>
      <c r="CB19" s="50"/>
      <c r="CC19" s="50"/>
      <c r="CD19" s="50"/>
      <c r="CE19" s="50"/>
      <c r="CF19" s="50"/>
      <c r="CG19" s="50"/>
      <c r="CH19" s="50"/>
      <c r="CI19" s="50"/>
      <c r="CJ19" s="50"/>
      <c r="CK19" s="50"/>
      <c r="CL19" s="50"/>
      <c r="CM19" s="50"/>
      <c r="CN19" s="50"/>
      <c r="CO19" s="50"/>
      <c r="CP19" s="50"/>
      <c r="CQ19" s="50"/>
      <c r="CR19" s="50"/>
      <c r="CS19" s="50"/>
      <c r="CT19" s="50"/>
      <c r="CU19" s="50"/>
      <c r="CV19" s="50"/>
      <c r="CW19" s="50"/>
      <c r="CX19" s="50"/>
      <c r="CY19" s="50"/>
      <c r="CZ19" s="50"/>
      <c r="DA19" s="50"/>
      <c r="DB19" s="50"/>
      <c r="DC19" s="50"/>
      <c r="DD19" s="50"/>
      <c r="DE19" s="50"/>
      <c r="DF19" s="50"/>
      <c r="DG19" s="50"/>
      <c r="DH19" s="50"/>
      <c r="DI19" s="50"/>
      <c r="DJ19" s="50"/>
      <c r="DK19" s="50"/>
      <c r="DL19" s="50"/>
      <c r="DM19" s="50"/>
      <c r="DN19" s="50"/>
      <c r="DO19" s="50"/>
      <c r="DP19" s="50"/>
      <c r="DQ19" s="50"/>
      <c r="DR19" s="50"/>
      <c r="DS19" s="50"/>
      <c r="DT19" s="50"/>
      <c r="DU19" s="50"/>
      <c r="DV19" s="50"/>
      <c r="DW19" s="50"/>
    </row>
    <row r="20" spans="1:127" s="46" customFormat="1" ht="30" customHeight="1" thickBot="1" x14ac:dyDescent="0.25">
      <c r="A20" s="13"/>
      <c r="B20" s="60" t="s">
        <v>28</v>
      </c>
      <c r="C20" s="61"/>
      <c r="D20" s="62"/>
      <c r="E20" s="99"/>
      <c r="F20" s="100"/>
      <c r="G20" s="17"/>
      <c r="H20" s="5" t="str">
        <f t="shared" si="52"/>
        <v/>
      </c>
      <c r="I20" s="63"/>
      <c r="J20" s="63"/>
      <c r="K20" s="63"/>
      <c r="L20" s="63"/>
      <c r="M20" s="63"/>
      <c r="N20" s="63"/>
      <c r="O20" s="63"/>
      <c r="P20" s="63"/>
      <c r="Q20" s="63"/>
      <c r="R20" s="63"/>
      <c r="S20" s="63"/>
      <c r="T20" s="63"/>
      <c r="U20" s="63"/>
      <c r="V20" s="63"/>
      <c r="W20" s="63"/>
      <c r="X20" s="63"/>
      <c r="Y20" s="63"/>
      <c r="Z20" s="63"/>
      <c r="AA20" s="63"/>
      <c r="AB20" s="63"/>
      <c r="AC20" s="63"/>
      <c r="AD20" s="63"/>
      <c r="AE20" s="63"/>
      <c r="AF20" s="63"/>
      <c r="AG20" s="63"/>
      <c r="AH20" s="63"/>
      <c r="AI20" s="63"/>
      <c r="AJ20" s="63"/>
      <c r="AK20" s="63"/>
      <c r="AL20" s="63"/>
      <c r="AM20" s="63"/>
      <c r="AN20" s="63"/>
      <c r="AO20" s="63"/>
      <c r="AP20" s="63"/>
      <c r="AQ20" s="63"/>
      <c r="AR20" s="63"/>
      <c r="AS20" s="63"/>
      <c r="AT20" s="63"/>
      <c r="AU20" s="63"/>
      <c r="AV20" s="63"/>
      <c r="AW20" s="63"/>
      <c r="AX20" s="63"/>
      <c r="AY20" s="63"/>
      <c r="AZ20" s="63"/>
      <c r="BA20" s="63"/>
      <c r="BB20" s="63"/>
      <c r="BC20" s="63"/>
      <c r="BD20" s="63"/>
      <c r="BE20" s="63"/>
      <c r="BF20" s="63"/>
      <c r="BG20" s="63"/>
      <c r="BH20" s="63"/>
      <c r="BI20" s="63"/>
      <c r="BJ20" s="63"/>
      <c r="BK20" s="63"/>
      <c r="BL20" s="63"/>
      <c r="BM20" s="63"/>
      <c r="BN20" s="63"/>
      <c r="BO20" s="63"/>
      <c r="BP20" s="63"/>
      <c r="BQ20" s="63"/>
      <c r="BR20" s="63"/>
      <c r="BS20" s="63"/>
      <c r="BT20" s="63"/>
      <c r="BU20" s="63"/>
      <c r="BV20" s="63"/>
      <c r="BW20" s="63"/>
      <c r="BX20" s="63"/>
      <c r="BY20" s="63"/>
      <c r="BZ20" s="63"/>
      <c r="CA20" s="63"/>
      <c r="CB20" s="63"/>
      <c r="CC20" s="63"/>
      <c r="CD20" s="63"/>
      <c r="CE20" s="63"/>
      <c r="CF20" s="63"/>
      <c r="CG20" s="63"/>
      <c r="CH20" s="63"/>
      <c r="CI20" s="63"/>
      <c r="CJ20" s="63"/>
      <c r="CK20" s="63"/>
      <c r="CL20" s="63"/>
      <c r="CM20" s="63"/>
      <c r="CN20" s="63"/>
      <c r="CO20" s="63"/>
      <c r="CP20" s="63"/>
      <c r="CQ20" s="63"/>
      <c r="CR20" s="63"/>
      <c r="CS20" s="63"/>
      <c r="CT20" s="63"/>
      <c r="CU20" s="63"/>
      <c r="CV20" s="63"/>
      <c r="CW20" s="63"/>
      <c r="CX20" s="63"/>
      <c r="CY20" s="63"/>
      <c r="CZ20" s="63"/>
      <c r="DA20" s="63"/>
      <c r="DB20" s="63"/>
      <c r="DC20" s="63"/>
      <c r="DD20" s="63"/>
      <c r="DE20" s="63"/>
      <c r="DF20" s="63"/>
      <c r="DG20" s="63"/>
      <c r="DH20" s="63"/>
      <c r="DI20" s="63"/>
      <c r="DJ20" s="63"/>
      <c r="DK20" s="63"/>
      <c r="DL20" s="63"/>
      <c r="DM20" s="63"/>
      <c r="DN20" s="63"/>
      <c r="DO20" s="63"/>
      <c r="DP20" s="63"/>
      <c r="DQ20" s="63"/>
      <c r="DR20" s="63"/>
      <c r="DS20" s="63"/>
      <c r="DT20" s="63"/>
      <c r="DU20" s="63"/>
      <c r="DV20" s="63"/>
      <c r="DW20" s="63"/>
    </row>
    <row r="21" spans="1:127" s="46" customFormat="1" ht="30" customHeight="1" thickBot="1" x14ac:dyDescent="0.25">
      <c r="A21" s="13"/>
      <c r="B21" s="64" t="s">
        <v>40</v>
      </c>
      <c r="C21" s="65" t="s">
        <v>39</v>
      </c>
      <c r="D21" s="66">
        <v>1</v>
      </c>
      <c r="E21" s="101">
        <v>46153</v>
      </c>
      <c r="F21" s="101">
        <v>46193</v>
      </c>
      <c r="G21" s="17"/>
      <c r="H21" s="5">
        <f t="shared" si="52"/>
        <v>41</v>
      </c>
      <c r="I21" s="50"/>
      <c r="J21" s="50"/>
      <c r="K21" s="50"/>
      <c r="L21" s="50"/>
      <c r="M21" s="50"/>
      <c r="N21" s="50"/>
      <c r="O21" s="50"/>
      <c r="P21" s="50"/>
      <c r="Q21" s="50"/>
      <c r="R21" s="50"/>
      <c r="S21" s="50"/>
      <c r="T21" s="50"/>
      <c r="U21" s="50"/>
      <c r="V21" s="50"/>
      <c r="W21" s="50"/>
      <c r="X21" s="50"/>
      <c r="Y21" s="50"/>
      <c r="Z21" s="50"/>
      <c r="AA21" s="50"/>
      <c r="AB21" s="50"/>
      <c r="AC21" s="50"/>
      <c r="AD21" s="50"/>
      <c r="AE21" s="50"/>
      <c r="AF21" s="50"/>
      <c r="AG21" s="50"/>
      <c r="AH21" s="50"/>
      <c r="AI21" s="50"/>
      <c r="AJ21" s="50"/>
      <c r="AK21" s="50"/>
      <c r="AL21" s="50"/>
      <c r="AM21" s="50"/>
      <c r="AN21" s="50"/>
      <c r="AO21" s="50"/>
      <c r="AP21" s="50"/>
      <c r="AQ21" s="50"/>
      <c r="AR21" s="50"/>
      <c r="AS21" s="50"/>
      <c r="AT21" s="50"/>
      <c r="AU21" s="50"/>
      <c r="AV21" s="50"/>
      <c r="AW21" s="50"/>
      <c r="AX21" s="50"/>
      <c r="AY21" s="50"/>
      <c r="AZ21" s="50"/>
      <c r="BA21" s="50"/>
      <c r="BB21" s="50"/>
      <c r="BC21" s="50"/>
      <c r="BD21" s="50"/>
      <c r="BE21" s="50"/>
      <c r="BF21" s="50"/>
      <c r="BG21" s="50"/>
      <c r="BH21" s="50"/>
      <c r="BI21" s="50"/>
      <c r="BJ21" s="50"/>
      <c r="BK21" s="50"/>
      <c r="BL21" s="50"/>
      <c r="BM21" s="50"/>
      <c r="BN21" s="50"/>
      <c r="BO21" s="50"/>
      <c r="BP21" s="50"/>
      <c r="BQ21" s="50"/>
      <c r="BR21" s="50"/>
      <c r="BS21" s="50"/>
      <c r="BT21" s="50"/>
      <c r="BU21" s="50"/>
      <c r="BV21" s="50"/>
      <c r="BW21" s="50"/>
      <c r="BX21" s="50"/>
      <c r="BY21" s="50"/>
      <c r="BZ21" s="50"/>
      <c r="CA21" s="50"/>
      <c r="CB21" s="50"/>
      <c r="CC21" s="50"/>
      <c r="CD21" s="50"/>
      <c r="CE21" s="50"/>
      <c r="CF21" s="50"/>
      <c r="CG21" s="50"/>
      <c r="CH21" s="50"/>
      <c r="CI21" s="50"/>
      <c r="CJ21" s="50"/>
      <c r="CK21" s="50"/>
      <c r="CL21" s="50"/>
      <c r="CM21" s="50"/>
      <c r="CN21" s="50"/>
      <c r="CO21" s="50"/>
      <c r="CP21" s="50"/>
      <c r="CQ21" s="50"/>
      <c r="CR21" s="50"/>
      <c r="CS21" s="50"/>
      <c r="CT21" s="50"/>
      <c r="CU21" s="50"/>
      <c r="CV21" s="50"/>
      <c r="CW21" s="50"/>
      <c r="CX21" s="50"/>
      <c r="CY21" s="50"/>
      <c r="CZ21" s="50"/>
      <c r="DA21" s="50"/>
      <c r="DB21" s="50"/>
      <c r="DC21" s="50"/>
      <c r="DD21" s="50"/>
      <c r="DE21" s="50"/>
      <c r="DF21" s="50"/>
      <c r="DG21" s="50"/>
      <c r="DH21" s="50"/>
      <c r="DI21" s="50"/>
      <c r="DJ21" s="50"/>
      <c r="DK21" s="50"/>
      <c r="DL21" s="50"/>
      <c r="DM21" s="50"/>
      <c r="DN21" s="50"/>
      <c r="DO21" s="50"/>
      <c r="DP21" s="50"/>
      <c r="DQ21" s="50"/>
      <c r="DR21" s="50"/>
      <c r="DS21" s="50"/>
      <c r="DT21" s="50"/>
      <c r="DU21" s="50"/>
      <c r="DV21" s="50"/>
      <c r="DW21" s="50"/>
    </row>
    <row r="22" spans="1:127" s="46" customFormat="1" ht="30" customHeight="1" thickBot="1" x14ac:dyDescent="0.25">
      <c r="A22" s="13"/>
      <c r="B22" s="64" t="s">
        <v>41</v>
      </c>
      <c r="C22" s="65" t="s">
        <v>39</v>
      </c>
      <c r="D22" s="66">
        <v>1</v>
      </c>
      <c r="E22" s="101">
        <f>E21</f>
        <v>46153</v>
      </c>
      <c r="F22" s="101">
        <f>F21</f>
        <v>46193</v>
      </c>
      <c r="G22" s="17"/>
      <c r="H22" s="5">
        <f t="shared" si="52"/>
        <v>41</v>
      </c>
      <c r="I22" s="50"/>
      <c r="J22" s="50"/>
      <c r="K22" s="50"/>
      <c r="L22" s="50"/>
      <c r="M22" s="50"/>
      <c r="N22" s="50"/>
      <c r="O22" s="50"/>
      <c r="P22" s="50"/>
      <c r="Q22" s="50"/>
      <c r="R22" s="50"/>
      <c r="S22" s="50"/>
      <c r="T22" s="50"/>
      <c r="U22" s="50"/>
      <c r="V22" s="50"/>
      <c r="W22" s="50"/>
      <c r="X22" s="50"/>
      <c r="Y22" s="50"/>
      <c r="Z22" s="50"/>
      <c r="AA22" s="50"/>
      <c r="AB22" s="50"/>
      <c r="AC22" s="50"/>
      <c r="AD22" s="50"/>
      <c r="AE22" s="50"/>
      <c r="AF22" s="50"/>
      <c r="AG22" s="50"/>
      <c r="AH22" s="50"/>
      <c r="AI22" s="50"/>
      <c r="AJ22" s="50"/>
      <c r="AK22" s="50"/>
      <c r="AL22" s="50"/>
      <c r="AM22" s="50"/>
      <c r="AN22" s="50"/>
      <c r="AO22" s="50"/>
      <c r="AP22" s="50"/>
      <c r="AQ22" s="50"/>
      <c r="AR22" s="50"/>
      <c r="AS22" s="50"/>
      <c r="AT22" s="50"/>
      <c r="AU22" s="50"/>
      <c r="AV22" s="50"/>
      <c r="AW22" s="50"/>
      <c r="AX22" s="50"/>
      <c r="AY22" s="50"/>
      <c r="AZ22" s="50"/>
      <c r="BA22" s="50"/>
      <c r="BB22" s="50"/>
      <c r="BC22" s="50"/>
      <c r="BD22" s="50"/>
      <c r="BE22" s="50"/>
      <c r="BF22" s="50"/>
      <c r="BG22" s="50"/>
      <c r="BH22" s="50"/>
      <c r="BI22" s="50"/>
      <c r="BJ22" s="50"/>
      <c r="BK22" s="50"/>
      <c r="BL22" s="50"/>
      <c r="BM22" s="50"/>
      <c r="BN22" s="50"/>
      <c r="BO22" s="50"/>
      <c r="BP22" s="50"/>
      <c r="BQ22" s="50"/>
      <c r="BR22" s="50"/>
      <c r="BS22" s="50"/>
      <c r="BT22" s="50"/>
      <c r="BU22" s="50"/>
      <c r="BV22" s="50"/>
      <c r="BW22" s="50"/>
      <c r="BX22" s="50"/>
      <c r="BY22" s="50"/>
      <c r="BZ22" s="50"/>
      <c r="CA22" s="50"/>
      <c r="CB22" s="50"/>
      <c r="CC22" s="50"/>
      <c r="CD22" s="50"/>
      <c r="CE22" s="50"/>
      <c r="CF22" s="50"/>
      <c r="CG22" s="50"/>
      <c r="CH22" s="50"/>
      <c r="CI22" s="50"/>
      <c r="CJ22" s="50"/>
      <c r="CK22" s="50"/>
      <c r="CL22" s="50"/>
      <c r="CM22" s="50"/>
      <c r="CN22" s="50"/>
      <c r="CO22" s="50"/>
      <c r="CP22" s="50"/>
      <c r="CQ22" s="50"/>
      <c r="CR22" s="50"/>
      <c r="CS22" s="50"/>
      <c r="CT22" s="50"/>
      <c r="CU22" s="50"/>
      <c r="CV22" s="50"/>
      <c r="CW22" s="50"/>
      <c r="CX22" s="50"/>
      <c r="CY22" s="50"/>
      <c r="CZ22" s="50"/>
      <c r="DA22" s="50"/>
      <c r="DB22" s="50"/>
      <c r="DC22" s="50"/>
      <c r="DD22" s="50"/>
      <c r="DE22" s="50"/>
      <c r="DF22" s="50"/>
      <c r="DG22" s="50"/>
      <c r="DH22" s="50"/>
      <c r="DI22" s="50"/>
      <c r="DJ22" s="50"/>
      <c r="DK22" s="50"/>
      <c r="DL22" s="50"/>
      <c r="DM22" s="50"/>
      <c r="DN22" s="50"/>
      <c r="DO22" s="50"/>
      <c r="DP22" s="50"/>
      <c r="DQ22" s="50"/>
      <c r="DR22" s="50"/>
      <c r="DS22" s="50"/>
      <c r="DT22" s="50"/>
      <c r="DU22" s="50"/>
      <c r="DV22" s="50"/>
      <c r="DW22" s="50"/>
    </row>
    <row r="23" spans="1:127" s="46" customFormat="1" ht="30" customHeight="1" thickBot="1" x14ac:dyDescent="0.25">
      <c r="A23" s="13"/>
      <c r="B23" s="64" t="s">
        <v>42</v>
      </c>
      <c r="C23" s="65" t="s">
        <v>39</v>
      </c>
      <c r="D23" s="66">
        <v>1</v>
      </c>
      <c r="E23" s="101">
        <f>E21</f>
        <v>46153</v>
      </c>
      <c r="F23" s="101">
        <f>F21</f>
        <v>46193</v>
      </c>
      <c r="G23" s="17"/>
      <c r="H23" s="5">
        <f t="shared" si="52"/>
        <v>41</v>
      </c>
      <c r="I23" s="50"/>
      <c r="J23" s="50"/>
      <c r="K23" s="50"/>
      <c r="L23" s="50"/>
      <c r="M23" s="50"/>
      <c r="N23" s="50"/>
      <c r="O23" s="50"/>
      <c r="P23" s="50"/>
      <c r="Q23" s="50"/>
      <c r="R23" s="50"/>
      <c r="S23" s="50"/>
      <c r="T23" s="50"/>
      <c r="U23" s="50"/>
      <c r="V23" s="50"/>
      <c r="W23" s="50"/>
      <c r="X23" s="50"/>
      <c r="Y23" s="50"/>
      <c r="Z23" s="50"/>
      <c r="AA23" s="50"/>
      <c r="AB23" s="50"/>
      <c r="AC23" s="50"/>
      <c r="AD23" s="50"/>
      <c r="AE23" s="50"/>
      <c r="AF23" s="50"/>
      <c r="AG23" s="50"/>
      <c r="AH23" s="50"/>
      <c r="AI23" s="50"/>
      <c r="AJ23" s="50"/>
      <c r="AK23" s="50"/>
      <c r="AL23" s="50"/>
      <c r="AM23" s="50"/>
      <c r="AN23" s="50"/>
      <c r="AO23" s="50"/>
      <c r="AP23" s="50"/>
      <c r="AQ23" s="50"/>
      <c r="AR23" s="50"/>
      <c r="AS23" s="50"/>
      <c r="AT23" s="50"/>
      <c r="AU23" s="50"/>
      <c r="AV23" s="50"/>
      <c r="AW23" s="50"/>
      <c r="AX23" s="50"/>
      <c r="AY23" s="50"/>
      <c r="AZ23" s="50"/>
      <c r="BA23" s="50"/>
      <c r="BB23" s="50"/>
      <c r="BC23" s="50"/>
      <c r="BD23" s="50"/>
      <c r="BE23" s="50"/>
      <c r="BF23" s="50"/>
      <c r="BG23" s="50"/>
      <c r="BH23" s="50"/>
      <c r="BI23" s="50"/>
      <c r="BJ23" s="50"/>
      <c r="BK23" s="50"/>
      <c r="BL23" s="50"/>
      <c r="BM23" s="50"/>
      <c r="BN23" s="50"/>
      <c r="BO23" s="50"/>
      <c r="BP23" s="50"/>
      <c r="BQ23" s="50"/>
      <c r="BR23" s="50"/>
      <c r="BS23" s="50"/>
      <c r="BT23" s="50"/>
      <c r="BU23" s="50"/>
      <c r="BV23" s="50"/>
      <c r="BW23" s="50"/>
      <c r="BX23" s="50"/>
      <c r="BY23" s="50"/>
      <c r="BZ23" s="50"/>
      <c r="CA23" s="50"/>
      <c r="CB23" s="50"/>
      <c r="CC23" s="50"/>
      <c r="CD23" s="50"/>
      <c r="CE23" s="50"/>
      <c r="CF23" s="50"/>
      <c r="CG23" s="50"/>
      <c r="CH23" s="50"/>
      <c r="CI23" s="50"/>
      <c r="CJ23" s="50"/>
      <c r="CK23" s="50"/>
      <c r="CL23" s="50"/>
      <c r="CM23" s="50"/>
      <c r="CN23" s="50"/>
      <c r="CO23" s="50"/>
      <c r="CP23" s="50"/>
      <c r="CQ23" s="50"/>
      <c r="CR23" s="50"/>
      <c r="CS23" s="50"/>
      <c r="CT23" s="50"/>
      <c r="CU23" s="50"/>
      <c r="CV23" s="50"/>
      <c r="CW23" s="50"/>
      <c r="CX23" s="50"/>
      <c r="CY23" s="50"/>
      <c r="CZ23" s="50"/>
      <c r="DA23" s="50"/>
      <c r="DB23" s="50"/>
      <c r="DC23" s="50"/>
      <c r="DD23" s="50"/>
      <c r="DE23" s="50"/>
      <c r="DF23" s="50"/>
      <c r="DG23" s="50"/>
      <c r="DH23" s="50"/>
      <c r="DI23" s="50"/>
      <c r="DJ23" s="50"/>
      <c r="DK23" s="50"/>
      <c r="DL23" s="50"/>
      <c r="DM23" s="50"/>
      <c r="DN23" s="50"/>
      <c r="DO23" s="50"/>
      <c r="DP23" s="50"/>
      <c r="DQ23" s="50"/>
      <c r="DR23" s="50"/>
      <c r="DS23" s="50"/>
      <c r="DT23" s="50"/>
      <c r="DU23" s="50"/>
      <c r="DV23" s="50"/>
      <c r="DW23" s="50"/>
    </row>
    <row r="24" spans="1:127" s="46" customFormat="1" ht="30" customHeight="1" thickBot="1" x14ac:dyDescent="0.25">
      <c r="A24" s="13"/>
      <c r="B24" s="64" t="s">
        <v>47</v>
      </c>
      <c r="C24" s="65" t="s">
        <v>39</v>
      </c>
      <c r="D24" s="66">
        <v>1</v>
      </c>
      <c r="E24" s="101">
        <f>E21</f>
        <v>46153</v>
      </c>
      <c r="F24" s="101">
        <f>F21</f>
        <v>46193</v>
      </c>
      <c r="G24" s="17"/>
      <c r="H24" s="5"/>
      <c r="I24" s="50"/>
      <c r="J24" s="50"/>
      <c r="K24" s="50"/>
      <c r="L24" s="50"/>
      <c r="M24" s="50"/>
      <c r="N24" s="50"/>
      <c r="O24" s="50"/>
      <c r="P24" s="50"/>
      <c r="Q24" s="50"/>
      <c r="R24" s="50"/>
      <c r="S24" s="50"/>
      <c r="T24" s="50"/>
      <c r="U24" s="50"/>
      <c r="V24" s="50"/>
      <c r="W24" s="50"/>
      <c r="X24" s="50"/>
      <c r="Y24" s="50"/>
      <c r="Z24" s="50"/>
      <c r="AA24" s="50"/>
      <c r="AB24" s="50"/>
      <c r="AC24" s="50"/>
      <c r="AD24" s="50"/>
      <c r="AE24" s="50"/>
      <c r="AF24" s="50"/>
      <c r="AG24" s="50"/>
      <c r="AH24" s="50"/>
      <c r="AI24" s="50"/>
      <c r="AJ24" s="50"/>
      <c r="AK24" s="50"/>
      <c r="AL24" s="50"/>
      <c r="AM24" s="50"/>
      <c r="AN24" s="50"/>
      <c r="AO24" s="50"/>
      <c r="AP24" s="50"/>
      <c r="AQ24" s="50"/>
      <c r="AR24" s="50"/>
      <c r="AS24" s="50"/>
      <c r="AT24" s="50"/>
      <c r="AU24" s="50"/>
      <c r="AV24" s="50"/>
      <c r="AW24" s="50"/>
      <c r="AX24" s="50"/>
      <c r="AY24" s="50"/>
      <c r="AZ24" s="50"/>
      <c r="BA24" s="50"/>
      <c r="BB24" s="50"/>
      <c r="BC24" s="50"/>
      <c r="BD24" s="50"/>
      <c r="BE24" s="50"/>
      <c r="BF24" s="50"/>
      <c r="BG24" s="50"/>
      <c r="BH24" s="50"/>
      <c r="BI24" s="50"/>
      <c r="BJ24" s="50"/>
      <c r="BK24" s="50"/>
      <c r="BL24" s="50"/>
      <c r="BM24" s="50"/>
      <c r="BN24" s="50"/>
      <c r="BO24" s="50"/>
      <c r="BP24" s="50"/>
      <c r="BQ24" s="50"/>
      <c r="BR24" s="50"/>
      <c r="BS24" s="50"/>
      <c r="BT24" s="50"/>
      <c r="BU24" s="50"/>
      <c r="BV24" s="50"/>
      <c r="BW24" s="50"/>
      <c r="BX24" s="50"/>
      <c r="BY24" s="50"/>
      <c r="BZ24" s="50"/>
      <c r="CA24" s="50"/>
      <c r="CB24" s="50"/>
      <c r="CC24" s="50"/>
      <c r="CD24" s="50"/>
      <c r="CE24" s="50"/>
      <c r="CF24" s="50"/>
      <c r="CG24" s="50"/>
      <c r="CH24" s="50"/>
      <c r="CI24" s="50"/>
      <c r="CJ24" s="50"/>
      <c r="CK24" s="50"/>
      <c r="CL24" s="50"/>
      <c r="CM24" s="50"/>
      <c r="CN24" s="50"/>
      <c r="CO24" s="50"/>
      <c r="CP24" s="50"/>
      <c r="CQ24" s="50"/>
      <c r="CR24" s="50"/>
      <c r="CS24" s="50"/>
      <c r="CT24" s="50"/>
      <c r="CU24" s="50"/>
      <c r="CV24" s="50"/>
      <c r="CW24" s="50"/>
      <c r="CX24" s="50"/>
      <c r="CY24" s="50"/>
      <c r="CZ24" s="50"/>
      <c r="DA24" s="50"/>
      <c r="DB24" s="50"/>
      <c r="DC24" s="50"/>
      <c r="DD24" s="50"/>
      <c r="DE24" s="50"/>
      <c r="DF24" s="50"/>
      <c r="DG24" s="50"/>
      <c r="DH24" s="50"/>
      <c r="DI24" s="50"/>
      <c r="DJ24" s="50"/>
      <c r="DK24" s="50"/>
      <c r="DL24" s="50"/>
      <c r="DM24" s="50"/>
      <c r="DN24" s="50"/>
      <c r="DO24" s="50"/>
      <c r="DP24" s="50"/>
      <c r="DQ24" s="50"/>
      <c r="DR24" s="50"/>
      <c r="DS24" s="50"/>
      <c r="DT24" s="50"/>
      <c r="DU24" s="50"/>
      <c r="DV24" s="50"/>
      <c r="DW24" s="50"/>
    </row>
    <row r="25" spans="1:127" s="46" customFormat="1" ht="30" customHeight="1" thickBot="1" x14ac:dyDescent="0.25">
      <c r="A25" s="13"/>
      <c r="B25" s="106" t="s">
        <v>50</v>
      </c>
      <c r="C25" s="65" t="s">
        <v>39</v>
      </c>
      <c r="D25" s="66">
        <v>1</v>
      </c>
      <c r="E25" s="101">
        <f>F23+1</f>
        <v>46194</v>
      </c>
      <c r="F25" s="101">
        <v>46194</v>
      </c>
      <c r="G25" s="17"/>
      <c r="H25" s="5">
        <f t="shared" si="52"/>
        <v>1</v>
      </c>
      <c r="I25" s="50"/>
      <c r="J25" s="50"/>
      <c r="K25" s="50"/>
      <c r="L25" s="50"/>
      <c r="M25" s="50"/>
      <c r="N25" s="50"/>
      <c r="O25" s="50"/>
      <c r="P25" s="50"/>
      <c r="Q25" s="50"/>
      <c r="R25" s="50"/>
      <c r="S25" s="50"/>
      <c r="T25" s="50"/>
      <c r="U25" s="50"/>
      <c r="V25" s="50"/>
      <c r="W25" s="50"/>
      <c r="X25" s="50"/>
      <c r="Y25" s="50"/>
      <c r="Z25" s="50"/>
      <c r="AA25" s="50"/>
      <c r="AB25" s="50"/>
      <c r="AC25" s="50"/>
      <c r="AD25" s="50"/>
      <c r="AE25" s="50"/>
      <c r="AF25" s="50"/>
      <c r="AG25" s="50"/>
      <c r="AH25" s="50"/>
      <c r="AI25" s="50"/>
      <c r="AJ25" s="50"/>
      <c r="AK25" s="50"/>
      <c r="AL25" s="50"/>
      <c r="AM25" s="50"/>
      <c r="AN25" s="50"/>
      <c r="AO25" s="50"/>
      <c r="AP25" s="50"/>
      <c r="AQ25" s="50"/>
      <c r="AR25" s="50"/>
      <c r="AS25" s="50"/>
      <c r="AT25" s="50"/>
      <c r="AU25" s="50"/>
      <c r="AV25" s="50"/>
      <c r="AW25" s="50"/>
      <c r="AX25" s="50"/>
      <c r="AY25" s="50"/>
      <c r="AZ25" s="50"/>
      <c r="BA25" s="50"/>
      <c r="BB25" s="50"/>
      <c r="BC25" s="50"/>
      <c r="BD25" s="50"/>
      <c r="BE25" s="50"/>
      <c r="BF25" s="50"/>
      <c r="BG25" s="50"/>
      <c r="BH25" s="50"/>
      <c r="BI25" s="50"/>
      <c r="BJ25" s="50"/>
      <c r="BK25" s="50"/>
      <c r="BL25" s="50"/>
      <c r="BM25" s="50"/>
      <c r="BN25" s="50"/>
      <c r="BO25" s="50"/>
      <c r="BP25" s="50"/>
      <c r="BQ25" s="50"/>
      <c r="BR25" s="50"/>
      <c r="BS25" s="50"/>
      <c r="BT25" s="50"/>
      <c r="BU25" s="50"/>
      <c r="BV25" s="50"/>
      <c r="BW25" s="50"/>
      <c r="BX25" s="50"/>
      <c r="BY25" s="50"/>
      <c r="BZ25" s="50"/>
      <c r="CA25" s="50"/>
      <c r="CB25" s="50"/>
      <c r="CC25" s="50"/>
      <c r="CD25" s="50"/>
      <c r="CE25" s="50"/>
      <c r="CF25" s="50"/>
      <c r="CG25" s="50"/>
      <c r="CH25" s="50"/>
      <c r="CI25" s="50"/>
      <c r="CJ25" s="50"/>
      <c r="CK25" s="50"/>
      <c r="CL25" s="50"/>
      <c r="CM25" s="50"/>
      <c r="CN25" s="50"/>
      <c r="CO25" s="50"/>
      <c r="CP25" s="50"/>
      <c r="CQ25" s="50"/>
      <c r="CR25" s="50"/>
      <c r="CS25" s="50"/>
      <c r="CT25" s="50"/>
      <c r="CU25" s="50"/>
      <c r="CV25" s="50"/>
      <c r="CW25" s="50"/>
      <c r="CX25" s="50"/>
      <c r="CY25" s="50"/>
      <c r="CZ25" s="50"/>
      <c r="DA25" s="50"/>
      <c r="DB25" s="50"/>
      <c r="DC25" s="50"/>
      <c r="DD25" s="50"/>
      <c r="DE25" s="50"/>
      <c r="DF25" s="50"/>
      <c r="DG25" s="50"/>
      <c r="DH25" s="50"/>
      <c r="DI25" s="50"/>
      <c r="DJ25" s="50"/>
      <c r="DK25" s="50"/>
      <c r="DL25" s="50"/>
      <c r="DM25" s="50"/>
      <c r="DN25" s="50"/>
      <c r="DO25" s="50"/>
      <c r="DP25" s="50"/>
      <c r="DQ25" s="50"/>
      <c r="DR25" s="50"/>
      <c r="DS25" s="50"/>
      <c r="DT25" s="50"/>
      <c r="DU25" s="50"/>
      <c r="DV25" s="50"/>
      <c r="DW25" s="50"/>
    </row>
    <row r="26" spans="1:127" s="46" customFormat="1" ht="30" customHeight="1" thickBot="1" x14ac:dyDescent="0.25">
      <c r="A26" s="13"/>
      <c r="B26" s="64" t="s">
        <v>46</v>
      </c>
      <c r="C26" s="65" t="s">
        <v>39</v>
      </c>
      <c r="D26" s="66">
        <v>1</v>
      </c>
      <c r="E26" s="101">
        <f>F25+1</f>
        <v>46195</v>
      </c>
      <c r="F26" s="101">
        <v>46198</v>
      </c>
      <c r="G26" s="17"/>
      <c r="H26" s="5"/>
      <c r="I26" s="50"/>
      <c r="J26" s="50"/>
      <c r="K26" s="50"/>
      <c r="L26" s="50"/>
      <c r="M26" s="50"/>
      <c r="N26" s="50"/>
      <c r="O26" s="50"/>
      <c r="P26" s="50"/>
      <c r="Q26" s="50"/>
      <c r="R26" s="50"/>
      <c r="S26" s="50"/>
      <c r="T26" s="50"/>
      <c r="U26" s="50"/>
      <c r="V26" s="50"/>
      <c r="W26" s="50"/>
      <c r="X26" s="50"/>
      <c r="Y26" s="50"/>
      <c r="Z26" s="50"/>
      <c r="AA26" s="50"/>
      <c r="AB26" s="50"/>
      <c r="AC26" s="50"/>
      <c r="AD26" s="50"/>
      <c r="AE26" s="50"/>
      <c r="AF26" s="50"/>
      <c r="AG26" s="50"/>
      <c r="AH26" s="50"/>
      <c r="AI26" s="50"/>
      <c r="AJ26" s="50"/>
      <c r="AK26" s="50"/>
      <c r="AL26" s="50"/>
      <c r="AM26" s="50"/>
      <c r="AN26" s="50"/>
      <c r="AO26" s="50"/>
      <c r="AP26" s="50"/>
      <c r="AQ26" s="50"/>
      <c r="AR26" s="50"/>
      <c r="AS26" s="50"/>
      <c r="AT26" s="50"/>
      <c r="AU26" s="50"/>
      <c r="AV26" s="50"/>
      <c r="AW26" s="50"/>
      <c r="AX26" s="50"/>
      <c r="AY26" s="50"/>
      <c r="AZ26" s="50"/>
      <c r="BA26" s="50"/>
      <c r="BB26" s="50"/>
      <c r="BC26" s="50"/>
      <c r="BD26" s="50"/>
      <c r="BE26" s="50"/>
      <c r="BF26" s="50"/>
      <c r="BG26" s="50"/>
      <c r="BH26" s="50"/>
      <c r="BI26" s="50"/>
      <c r="BJ26" s="50"/>
      <c r="BK26" s="50"/>
      <c r="BL26" s="50"/>
      <c r="BM26" s="50"/>
      <c r="BN26" s="50"/>
      <c r="BO26" s="50"/>
      <c r="BP26" s="50"/>
      <c r="BQ26" s="50"/>
      <c r="BR26" s="50"/>
      <c r="BS26" s="50"/>
      <c r="BT26" s="50"/>
      <c r="BU26" s="50"/>
      <c r="BV26" s="50"/>
      <c r="BW26" s="50"/>
      <c r="BX26" s="50"/>
      <c r="BY26" s="50"/>
      <c r="BZ26" s="50"/>
      <c r="CA26" s="50"/>
      <c r="CB26" s="50"/>
      <c r="CC26" s="50"/>
      <c r="CD26" s="50"/>
      <c r="CE26" s="50"/>
      <c r="CF26" s="50"/>
      <c r="CG26" s="50"/>
      <c r="CH26" s="50"/>
      <c r="CI26" s="50"/>
      <c r="CJ26" s="50"/>
      <c r="CK26" s="50"/>
      <c r="CL26" s="50"/>
      <c r="CM26" s="50"/>
      <c r="CN26" s="50"/>
      <c r="CO26" s="50"/>
      <c r="CP26" s="50"/>
      <c r="CQ26" s="50"/>
      <c r="CR26" s="50"/>
      <c r="CS26" s="50"/>
      <c r="CT26" s="50"/>
      <c r="CU26" s="50"/>
      <c r="CV26" s="50"/>
      <c r="CW26" s="50"/>
      <c r="CX26" s="50"/>
      <c r="CY26" s="50"/>
      <c r="CZ26" s="50"/>
      <c r="DA26" s="50"/>
      <c r="DB26" s="50"/>
      <c r="DC26" s="50"/>
      <c r="DD26" s="50"/>
      <c r="DE26" s="50"/>
      <c r="DF26" s="50"/>
      <c r="DG26" s="50"/>
      <c r="DH26" s="50"/>
      <c r="DI26" s="50"/>
      <c r="DJ26" s="50"/>
      <c r="DK26" s="50"/>
      <c r="DL26" s="50"/>
      <c r="DM26" s="50"/>
      <c r="DN26" s="50"/>
      <c r="DO26" s="50"/>
      <c r="DP26" s="50"/>
      <c r="DQ26" s="50"/>
      <c r="DR26" s="50"/>
      <c r="DS26" s="50"/>
      <c r="DT26" s="50"/>
      <c r="DU26" s="50"/>
      <c r="DV26" s="50"/>
      <c r="DW26" s="50"/>
    </row>
    <row r="27" spans="1:127" s="46" customFormat="1" ht="30" customHeight="1" thickBot="1" x14ac:dyDescent="0.25">
      <c r="A27" s="13"/>
      <c r="B27" s="64" t="s">
        <v>45</v>
      </c>
      <c r="C27" s="65" t="s">
        <v>39</v>
      </c>
      <c r="D27" s="66">
        <v>1</v>
      </c>
      <c r="E27" s="101">
        <f>F26+1</f>
        <v>46199</v>
      </c>
      <c r="F27" s="101">
        <v>46203</v>
      </c>
      <c r="G27" s="17"/>
      <c r="H27" s="5">
        <f t="shared" si="52"/>
        <v>5</v>
      </c>
      <c r="I27" s="50"/>
      <c r="J27" s="50"/>
      <c r="K27" s="50"/>
      <c r="L27" s="50"/>
      <c r="M27" s="50"/>
      <c r="N27" s="50"/>
      <c r="O27" s="50"/>
      <c r="P27" s="50"/>
      <c r="Q27" s="50"/>
      <c r="R27" s="50"/>
      <c r="S27" s="50"/>
      <c r="T27" s="50"/>
      <c r="U27" s="50"/>
      <c r="V27" s="50"/>
      <c r="W27" s="50"/>
      <c r="X27" s="50"/>
      <c r="Y27" s="50"/>
      <c r="Z27" s="50"/>
      <c r="AA27" s="50"/>
      <c r="AB27" s="50"/>
      <c r="AC27" s="50"/>
      <c r="AD27" s="50"/>
      <c r="AE27" s="50"/>
      <c r="AF27" s="50"/>
      <c r="AG27" s="50"/>
      <c r="AH27" s="50"/>
      <c r="AI27" s="50"/>
      <c r="AJ27" s="50"/>
      <c r="AK27" s="50"/>
      <c r="AL27" s="50"/>
      <c r="AM27" s="50"/>
      <c r="AN27" s="50"/>
      <c r="AO27" s="50"/>
      <c r="AP27" s="50"/>
      <c r="AQ27" s="50"/>
      <c r="AR27" s="50"/>
      <c r="AS27" s="50"/>
      <c r="AT27" s="50"/>
      <c r="AU27" s="50"/>
      <c r="AV27" s="50"/>
      <c r="AW27" s="50"/>
      <c r="AX27" s="50"/>
      <c r="AY27" s="50"/>
      <c r="AZ27" s="50"/>
      <c r="BA27" s="50"/>
      <c r="BB27" s="50"/>
      <c r="BC27" s="50"/>
      <c r="BD27" s="50"/>
      <c r="BE27" s="50"/>
      <c r="BF27" s="50"/>
      <c r="BG27" s="50"/>
      <c r="BH27" s="50"/>
      <c r="BI27" s="50"/>
      <c r="BJ27" s="50"/>
      <c r="BK27" s="50"/>
      <c r="BL27" s="50"/>
      <c r="BM27" s="50"/>
      <c r="BN27" s="50"/>
      <c r="BO27" s="50"/>
      <c r="BP27" s="50"/>
      <c r="BQ27" s="50"/>
      <c r="BR27" s="50"/>
      <c r="BS27" s="50"/>
      <c r="BT27" s="50"/>
      <c r="BU27" s="50"/>
      <c r="BV27" s="50"/>
      <c r="BW27" s="50"/>
      <c r="BX27" s="50"/>
      <c r="BY27" s="50"/>
      <c r="BZ27" s="50"/>
      <c r="CA27" s="50"/>
      <c r="CB27" s="50"/>
      <c r="CC27" s="50"/>
      <c r="CD27" s="50"/>
      <c r="CE27" s="50"/>
      <c r="CF27" s="50"/>
      <c r="CG27" s="50"/>
      <c r="CH27" s="50"/>
      <c r="CI27" s="50"/>
      <c r="CJ27" s="50"/>
      <c r="CK27" s="50"/>
      <c r="CL27" s="50"/>
      <c r="CM27" s="50"/>
      <c r="CN27" s="50"/>
      <c r="CO27" s="50"/>
      <c r="CP27" s="50"/>
      <c r="CQ27" s="50"/>
      <c r="CR27" s="50"/>
      <c r="CS27" s="50"/>
      <c r="CT27" s="50"/>
      <c r="CU27" s="50"/>
      <c r="CV27" s="50"/>
      <c r="CW27" s="50"/>
      <c r="CX27" s="50"/>
      <c r="CY27" s="50"/>
      <c r="CZ27" s="50"/>
      <c r="DA27" s="50"/>
      <c r="DB27" s="50"/>
      <c r="DC27" s="50"/>
      <c r="DD27" s="50"/>
      <c r="DE27" s="50"/>
      <c r="DF27" s="50"/>
      <c r="DG27" s="50"/>
      <c r="DH27" s="50"/>
      <c r="DI27" s="50"/>
      <c r="DJ27" s="50"/>
      <c r="DK27" s="50"/>
      <c r="DL27" s="50"/>
      <c r="DM27" s="50"/>
      <c r="DN27" s="50"/>
      <c r="DO27" s="50"/>
      <c r="DP27" s="50"/>
      <c r="DQ27" s="50"/>
      <c r="DR27" s="50"/>
      <c r="DS27" s="50"/>
      <c r="DT27" s="50"/>
      <c r="DU27" s="50"/>
      <c r="DV27" s="50"/>
      <c r="DW27" s="50"/>
    </row>
    <row r="28" spans="1:127" s="46" customFormat="1" ht="30" customHeight="1" thickBot="1" x14ac:dyDescent="0.25">
      <c r="A28" s="13"/>
      <c r="B28" s="67" t="s">
        <v>27</v>
      </c>
      <c r="C28" s="68"/>
      <c r="D28" s="69"/>
      <c r="E28" s="102"/>
      <c r="F28" s="103"/>
      <c r="G28" s="17"/>
      <c r="H28" s="5" t="str">
        <f t="shared" si="52"/>
        <v/>
      </c>
      <c r="I28" s="70"/>
      <c r="J28" s="70"/>
      <c r="K28" s="70"/>
      <c r="L28" s="70"/>
      <c r="M28" s="70"/>
      <c r="N28" s="70"/>
      <c r="O28" s="70"/>
      <c r="P28" s="70"/>
      <c r="Q28" s="70"/>
      <c r="R28" s="70"/>
      <c r="S28" s="70"/>
      <c r="T28" s="70"/>
      <c r="U28" s="70"/>
      <c r="V28" s="70"/>
      <c r="W28" s="70"/>
      <c r="X28" s="70"/>
      <c r="Y28" s="70"/>
      <c r="Z28" s="70"/>
      <c r="AA28" s="70"/>
      <c r="AB28" s="70"/>
      <c r="AC28" s="70"/>
      <c r="AD28" s="70"/>
      <c r="AE28" s="70"/>
      <c r="AF28" s="70"/>
      <c r="AG28" s="70"/>
      <c r="AH28" s="70"/>
      <c r="AI28" s="70"/>
      <c r="AJ28" s="70"/>
      <c r="AK28" s="70"/>
      <c r="AL28" s="70"/>
      <c r="AM28" s="70"/>
      <c r="AN28" s="70"/>
      <c r="AO28" s="70"/>
      <c r="AP28" s="70"/>
      <c r="AQ28" s="70"/>
      <c r="AR28" s="70"/>
      <c r="AS28" s="70"/>
      <c r="AT28" s="70"/>
      <c r="AU28" s="70"/>
      <c r="AV28" s="70"/>
      <c r="AW28" s="70"/>
      <c r="AX28" s="70"/>
      <c r="AY28" s="70"/>
      <c r="AZ28" s="70"/>
      <c r="BA28" s="70"/>
      <c r="BB28" s="70"/>
      <c r="BC28" s="70"/>
      <c r="BD28" s="70"/>
      <c r="BE28" s="70"/>
      <c r="BF28" s="70"/>
      <c r="BG28" s="70"/>
      <c r="BH28" s="70"/>
      <c r="BI28" s="70"/>
      <c r="BJ28" s="70"/>
      <c r="BK28" s="70"/>
      <c r="BL28" s="70"/>
      <c r="BM28" s="70"/>
      <c r="BN28" s="70"/>
      <c r="BO28" s="70"/>
      <c r="BP28" s="70"/>
      <c r="BQ28" s="70"/>
      <c r="BR28" s="70"/>
      <c r="BS28" s="70"/>
      <c r="BT28" s="70"/>
      <c r="BU28" s="70"/>
      <c r="BV28" s="70"/>
      <c r="BW28" s="70"/>
      <c r="BX28" s="70"/>
      <c r="BY28" s="70"/>
      <c r="BZ28" s="70"/>
      <c r="CA28" s="70"/>
      <c r="CB28" s="70"/>
      <c r="CC28" s="70"/>
      <c r="CD28" s="70"/>
      <c r="CE28" s="70"/>
      <c r="CF28" s="70"/>
      <c r="CG28" s="70"/>
      <c r="CH28" s="70"/>
      <c r="CI28" s="70"/>
      <c r="CJ28" s="70"/>
      <c r="CK28" s="70"/>
      <c r="CL28" s="70"/>
      <c r="CM28" s="70"/>
      <c r="CN28" s="70"/>
      <c r="CO28" s="70"/>
      <c r="CP28" s="70"/>
      <c r="CQ28" s="70"/>
      <c r="CR28" s="70"/>
      <c r="CS28" s="70"/>
      <c r="CT28" s="70"/>
      <c r="CU28" s="70"/>
      <c r="CV28" s="70"/>
      <c r="CW28" s="70"/>
      <c r="CX28" s="70"/>
      <c r="CY28" s="70"/>
      <c r="CZ28" s="70"/>
      <c r="DA28" s="70"/>
      <c r="DB28" s="70"/>
      <c r="DC28" s="70"/>
      <c r="DD28" s="70"/>
      <c r="DE28" s="70"/>
      <c r="DF28" s="70"/>
      <c r="DG28" s="70"/>
      <c r="DH28" s="70"/>
      <c r="DI28" s="70"/>
      <c r="DJ28" s="70"/>
      <c r="DK28" s="70"/>
      <c r="DL28" s="70"/>
      <c r="DM28" s="70"/>
      <c r="DN28" s="70"/>
      <c r="DO28" s="70"/>
      <c r="DP28" s="70"/>
      <c r="DQ28" s="70"/>
      <c r="DR28" s="70"/>
      <c r="DS28" s="70"/>
      <c r="DT28" s="70"/>
      <c r="DU28" s="70"/>
      <c r="DV28" s="70"/>
      <c r="DW28" s="70"/>
    </row>
    <row r="29" spans="1:127" s="46" customFormat="1" ht="30" customHeight="1" thickBot="1" x14ac:dyDescent="0.25">
      <c r="A29" s="13"/>
      <c r="B29" s="71" t="s">
        <v>43</v>
      </c>
      <c r="C29" s="72" t="s">
        <v>39</v>
      </c>
      <c r="D29" s="73">
        <v>1</v>
      </c>
      <c r="E29" s="104">
        <v>46204</v>
      </c>
      <c r="F29" s="104">
        <v>46211</v>
      </c>
      <c r="G29" s="17"/>
      <c r="H29" s="5">
        <f t="shared" si="52"/>
        <v>8</v>
      </c>
      <c r="I29" s="50"/>
      <c r="J29" s="50"/>
      <c r="K29" s="50"/>
      <c r="L29" s="50"/>
      <c r="M29" s="50"/>
      <c r="N29" s="50"/>
      <c r="O29" s="50"/>
      <c r="P29" s="50"/>
      <c r="Q29" s="50"/>
      <c r="R29" s="50"/>
      <c r="S29" s="50"/>
      <c r="T29" s="50"/>
      <c r="U29" s="50"/>
      <c r="V29" s="50"/>
      <c r="W29" s="50"/>
      <c r="X29" s="50"/>
      <c r="Y29" s="50"/>
      <c r="Z29" s="50"/>
      <c r="AA29" s="50"/>
      <c r="AB29" s="50"/>
      <c r="AC29" s="50"/>
      <c r="AD29" s="50"/>
      <c r="AE29" s="50"/>
      <c r="AF29" s="50"/>
      <c r="AG29" s="50"/>
      <c r="AH29" s="50"/>
      <c r="AI29" s="50"/>
      <c r="AJ29" s="50"/>
      <c r="AK29" s="50"/>
      <c r="AL29" s="50"/>
      <c r="AM29" s="50"/>
      <c r="AN29" s="50"/>
      <c r="AO29" s="50"/>
      <c r="AP29" s="50"/>
      <c r="AQ29" s="50"/>
      <c r="AR29" s="50"/>
      <c r="AS29" s="50"/>
      <c r="AT29" s="50"/>
      <c r="AU29" s="50"/>
      <c r="AV29" s="50"/>
      <c r="AW29" s="50"/>
      <c r="AX29" s="50"/>
      <c r="AY29" s="50"/>
      <c r="AZ29" s="50"/>
      <c r="BA29" s="50"/>
      <c r="BB29" s="50"/>
      <c r="BC29" s="50"/>
      <c r="BD29" s="50"/>
      <c r="BE29" s="50"/>
      <c r="BF29" s="50"/>
      <c r="BG29" s="50"/>
      <c r="BH29" s="50"/>
      <c r="BI29" s="50"/>
      <c r="BJ29" s="50"/>
      <c r="BK29" s="50"/>
      <c r="BL29" s="50"/>
      <c r="BM29" s="50"/>
      <c r="BN29" s="50"/>
      <c r="BO29" s="50"/>
      <c r="BP29" s="50"/>
      <c r="BQ29" s="50"/>
      <c r="BR29" s="50"/>
      <c r="BS29" s="50"/>
      <c r="BT29" s="50"/>
      <c r="BU29" s="50"/>
      <c r="BV29" s="50"/>
      <c r="BW29" s="50"/>
      <c r="BX29" s="50"/>
      <c r="BY29" s="50"/>
      <c r="BZ29" s="50"/>
      <c r="CA29" s="50"/>
      <c r="CB29" s="50"/>
      <c r="CC29" s="50"/>
      <c r="CD29" s="50"/>
      <c r="CE29" s="50"/>
      <c r="CF29" s="50"/>
      <c r="CG29" s="50"/>
      <c r="CH29" s="50"/>
      <c r="CI29" s="50"/>
      <c r="CJ29" s="50"/>
      <c r="CK29" s="50"/>
      <c r="CL29" s="50"/>
      <c r="CM29" s="50"/>
      <c r="CN29" s="50"/>
      <c r="CO29" s="50"/>
      <c r="CP29" s="50"/>
      <c r="CQ29" s="50"/>
      <c r="CR29" s="50"/>
      <c r="CS29" s="50"/>
      <c r="CT29" s="50"/>
      <c r="CU29" s="50"/>
      <c r="CV29" s="50"/>
      <c r="CW29" s="50"/>
      <c r="CX29" s="50"/>
      <c r="CY29" s="50"/>
      <c r="CZ29" s="50"/>
      <c r="DA29" s="50"/>
      <c r="DB29" s="50"/>
      <c r="DC29" s="50"/>
      <c r="DD29" s="50"/>
      <c r="DE29" s="50"/>
      <c r="DF29" s="50"/>
      <c r="DG29" s="50"/>
      <c r="DH29" s="50"/>
      <c r="DI29" s="50"/>
      <c r="DJ29" s="50"/>
      <c r="DK29" s="50"/>
      <c r="DL29" s="50"/>
      <c r="DM29" s="50"/>
      <c r="DN29" s="50"/>
      <c r="DO29" s="50"/>
      <c r="DP29" s="50"/>
      <c r="DQ29" s="50"/>
      <c r="DR29" s="50"/>
      <c r="DS29" s="50"/>
      <c r="DT29" s="50"/>
      <c r="DU29" s="50"/>
      <c r="DV29" s="50"/>
      <c r="DW29" s="50"/>
    </row>
    <row r="30" spans="1:127" s="46" customFormat="1" ht="30" customHeight="1" thickBot="1" x14ac:dyDescent="0.25">
      <c r="A30" s="13"/>
      <c r="B30" s="71" t="s">
        <v>44</v>
      </c>
      <c r="C30" s="72" t="s">
        <v>39</v>
      </c>
      <c r="D30" s="73">
        <v>1</v>
      </c>
      <c r="E30" s="104">
        <f>F29+1</f>
        <v>46212</v>
      </c>
      <c r="F30" s="104">
        <v>46215</v>
      </c>
      <c r="G30" s="17"/>
      <c r="H30" s="5">
        <f t="shared" si="52"/>
        <v>4</v>
      </c>
      <c r="I30" s="50"/>
      <c r="J30" s="50"/>
      <c r="K30" s="50"/>
      <c r="L30" s="50"/>
      <c r="M30" s="50"/>
      <c r="N30" s="50"/>
      <c r="O30" s="50"/>
      <c r="P30" s="50"/>
      <c r="Q30" s="50"/>
      <c r="R30" s="50"/>
      <c r="S30" s="50"/>
      <c r="T30" s="50"/>
      <c r="U30" s="50"/>
      <c r="V30" s="50"/>
      <c r="W30" s="50"/>
      <c r="X30" s="50"/>
      <c r="Y30" s="50"/>
      <c r="Z30" s="50"/>
      <c r="AA30" s="50"/>
      <c r="AB30" s="50"/>
      <c r="AC30" s="50"/>
      <c r="AD30" s="50"/>
      <c r="AE30" s="50"/>
      <c r="AF30" s="50"/>
      <c r="AG30" s="50"/>
      <c r="AH30" s="50"/>
      <c r="AI30" s="50"/>
      <c r="AJ30" s="50"/>
      <c r="AK30" s="50"/>
      <c r="AL30" s="50"/>
      <c r="AM30" s="50"/>
      <c r="AN30" s="50"/>
      <c r="AO30" s="50"/>
      <c r="AP30" s="50"/>
      <c r="AQ30" s="50"/>
      <c r="AR30" s="50"/>
      <c r="AS30" s="50"/>
      <c r="AT30" s="50"/>
      <c r="AU30" s="50"/>
      <c r="AV30" s="50"/>
      <c r="AW30" s="50"/>
      <c r="AX30" s="50"/>
      <c r="AY30" s="50"/>
      <c r="AZ30" s="50"/>
      <c r="BA30" s="50"/>
      <c r="BB30" s="50"/>
      <c r="BC30" s="50"/>
      <c r="BD30" s="50"/>
      <c r="BE30" s="50"/>
      <c r="BF30" s="50"/>
      <c r="BG30" s="50"/>
      <c r="BH30" s="50"/>
      <c r="BI30" s="50"/>
      <c r="BJ30" s="50"/>
      <c r="BK30" s="50"/>
      <c r="BL30" s="50"/>
      <c r="BM30" s="50"/>
      <c r="BN30" s="50"/>
      <c r="BO30" s="50"/>
      <c r="BP30" s="50"/>
      <c r="BQ30" s="50"/>
      <c r="BR30" s="50"/>
      <c r="BS30" s="50"/>
      <c r="BT30" s="50"/>
      <c r="BU30" s="50"/>
      <c r="BV30" s="50"/>
      <c r="BW30" s="50"/>
      <c r="BX30" s="50"/>
      <c r="BY30" s="50"/>
      <c r="BZ30" s="50"/>
      <c r="CA30" s="50"/>
      <c r="CB30" s="50"/>
      <c r="CC30" s="50"/>
      <c r="CD30" s="50"/>
      <c r="CE30" s="50"/>
      <c r="CF30" s="50"/>
      <c r="CG30" s="50"/>
      <c r="CH30" s="50"/>
      <c r="CI30" s="50"/>
      <c r="CJ30" s="50"/>
      <c r="CK30" s="50"/>
      <c r="CL30" s="50"/>
      <c r="CM30" s="50"/>
      <c r="CN30" s="50"/>
      <c r="CO30" s="50"/>
      <c r="CP30" s="50"/>
      <c r="CQ30" s="50"/>
      <c r="CR30" s="50"/>
      <c r="CS30" s="50"/>
      <c r="CT30" s="50"/>
      <c r="CU30" s="50"/>
      <c r="CV30" s="50"/>
      <c r="CW30" s="50"/>
      <c r="CX30" s="50"/>
      <c r="CY30" s="50"/>
      <c r="CZ30" s="50"/>
      <c r="DA30" s="50"/>
      <c r="DB30" s="50"/>
      <c r="DC30" s="50"/>
      <c r="DD30" s="50"/>
      <c r="DE30" s="50"/>
      <c r="DF30" s="50"/>
      <c r="DG30" s="50"/>
      <c r="DH30" s="50"/>
      <c r="DI30" s="50"/>
      <c r="DJ30" s="50"/>
      <c r="DK30" s="50"/>
      <c r="DL30" s="50"/>
      <c r="DM30" s="50"/>
      <c r="DN30" s="50"/>
      <c r="DO30" s="50"/>
      <c r="DP30" s="50"/>
      <c r="DQ30" s="50"/>
      <c r="DR30" s="50"/>
      <c r="DS30" s="50"/>
      <c r="DT30" s="50"/>
      <c r="DU30" s="50"/>
      <c r="DV30" s="50"/>
      <c r="DW30" s="50"/>
    </row>
    <row r="31" spans="1:127" s="46" customFormat="1" ht="30" customHeight="1" thickBot="1" x14ac:dyDescent="0.25">
      <c r="A31" s="13"/>
      <c r="B31" s="71" t="s">
        <v>24</v>
      </c>
      <c r="C31" s="72" t="s">
        <v>39</v>
      </c>
      <c r="D31" s="73">
        <v>1</v>
      </c>
      <c r="E31" s="104">
        <f>F30+1</f>
        <v>46216</v>
      </c>
      <c r="F31" s="104">
        <v>46223</v>
      </c>
      <c r="G31" s="17"/>
      <c r="H31" s="5"/>
      <c r="I31" s="50"/>
      <c r="J31" s="50"/>
      <c r="K31" s="50"/>
      <c r="L31" s="50"/>
      <c r="M31" s="50"/>
      <c r="N31" s="50"/>
      <c r="O31" s="50"/>
      <c r="P31" s="50"/>
      <c r="Q31" s="50"/>
      <c r="R31" s="50"/>
      <c r="S31" s="50"/>
      <c r="T31" s="50"/>
      <c r="U31" s="50"/>
      <c r="V31" s="50"/>
      <c r="W31" s="50"/>
      <c r="X31" s="50"/>
      <c r="Y31" s="50"/>
      <c r="Z31" s="50"/>
      <c r="AA31" s="50"/>
      <c r="AB31" s="50"/>
      <c r="AC31" s="50"/>
      <c r="AD31" s="50"/>
      <c r="AE31" s="50"/>
      <c r="AF31" s="50"/>
      <c r="AG31" s="50"/>
      <c r="AH31" s="50"/>
      <c r="AI31" s="50"/>
      <c r="AJ31" s="50"/>
      <c r="AK31" s="50"/>
      <c r="AL31" s="50"/>
      <c r="AM31" s="50"/>
      <c r="AN31" s="50"/>
      <c r="AO31" s="50"/>
      <c r="AP31" s="50"/>
      <c r="AQ31" s="50"/>
      <c r="AR31" s="50"/>
      <c r="AS31" s="50"/>
      <c r="AT31" s="50"/>
      <c r="AU31" s="50"/>
      <c r="AV31" s="50"/>
      <c r="AW31" s="50"/>
      <c r="AX31" s="50"/>
      <c r="AY31" s="50"/>
      <c r="AZ31" s="50"/>
      <c r="BA31" s="50"/>
      <c r="BB31" s="50"/>
      <c r="BC31" s="50"/>
      <c r="BD31" s="50"/>
      <c r="BE31" s="50"/>
      <c r="BF31" s="50"/>
      <c r="BG31" s="50"/>
      <c r="BH31" s="50"/>
      <c r="BI31" s="50"/>
      <c r="BJ31" s="50"/>
      <c r="BK31" s="50"/>
      <c r="BL31" s="50"/>
      <c r="BM31" s="50"/>
      <c r="BN31" s="50"/>
      <c r="BO31" s="50"/>
      <c r="BP31" s="50"/>
      <c r="BQ31" s="50"/>
      <c r="BR31" s="50"/>
      <c r="BS31" s="50"/>
      <c r="BT31" s="50"/>
      <c r="BU31" s="50"/>
      <c r="BV31" s="50"/>
      <c r="BW31" s="50"/>
      <c r="BX31" s="50"/>
      <c r="BY31" s="50"/>
      <c r="BZ31" s="50"/>
      <c r="CA31" s="50"/>
      <c r="CB31" s="50"/>
      <c r="CC31" s="50"/>
      <c r="CD31" s="50"/>
      <c r="CE31" s="50"/>
      <c r="CF31" s="50"/>
      <c r="CG31" s="50"/>
      <c r="CH31" s="50"/>
      <c r="CI31" s="50"/>
      <c r="CJ31" s="50"/>
      <c r="CK31" s="50"/>
      <c r="CL31" s="50"/>
      <c r="CM31" s="50"/>
      <c r="CN31" s="50"/>
      <c r="CO31" s="50"/>
      <c r="CP31" s="50"/>
      <c r="CQ31" s="50"/>
      <c r="CR31" s="50"/>
      <c r="CS31" s="50"/>
      <c r="CT31" s="50"/>
      <c r="CU31" s="50"/>
      <c r="CV31" s="50"/>
      <c r="CW31" s="50"/>
      <c r="CX31" s="50"/>
      <c r="CY31" s="50"/>
      <c r="CZ31" s="50"/>
      <c r="DA31" s="50"/>
      <c r="DB31" s="50"/>
      <c r="DC31" s="50"/>
      <c r="DD31" s="50"/>
      <c r="DE31" s="50"/>
      <c r="DF31" s="50"/>
      <c r="DG31" s="50"/>
      <c r="DH31" s="50"/>
      <c r="DI31" s="50"/>
      <c r="DJ31" s="50"/>
      <c r="DK31" s="50"/>
      <c r="DL31" s="50"/>
      <c r="DM31" s="50"/>
      <c r="DN31" s="50"/>
      <c r="DO31" s="50"/>
      <c r="DP31" s="50"/>
      <c r="DQ31" s="50"/>
      <c r="DR31" s="50"/>
      <c r="DS31" s="50"/>
      <c r="DT31" s="50"/>
      <c r="DU31" s="50"/>
      <c r="DV31" s="50"/>
      <c r="DW31" s="50"/>
    </row>
    <row r="32" spans="1:127" s="46" customFormat="1" ht="30" customHeight="1" thickBot="1" x14ac:dyDescent="0.25">
      <c r="A32" s="13"/>
      <c r="B32" s="107" t="s">
        <v>48</v>
      </c>
      <c r="C32" s="72" t="s">
        <v>39</v>
      </c>
      <c r="D32" s="73">
        <v>1</v>
      </c>
      <c r="E32" s="104">
        <f>F31+1</f>
        <v>46224</v>
      </c>
      <c r="F32" s="104">
        <v>46224</v>
      </c>
      <c r="G32" s="17"/>
      <c r="H32" s="5">
        <f t="shared" si="52"/>
        <v>1</v>
      </c>
      <c r="I32" s="50"/>
      <c r="J32" s="50"/>
      <c r="K32" s="50"/>
      <c r="L32" s="50"/>
      <c r="M32" s="50"/>
      <c r="N32" s="50"/>
      <c r="O32" s="50"/>
      <c r="P32" s="50"/>
      <c r="Q32" s="50"/>
      <c r="R32" s="50"/>
      <c r="S32" s="50"/>
      <c r="T32" s="50"/>
      <c r="U32" s="50"/>
      <c r="V32" s="50"/>
      <c r="W32" s="50"/>
      <c r="X32" s="50"/>
      <c r="Y32" s="50"/>
      <c r="Z32" s="50"/>
      <c r="AA32" s="50"/>
      <c r="AB32" s="50"/>
      <c r="AC32" s="50"/>
      <c r="AD32" s="50"/>
      <c r="AE32" s="50"/>
      <c r="AF32" s="50"/>
      <c r="AG32" s="50"/>
      <c r="AH32" s="50"/>
      <c r="AI32" s="50"/>
      <c r="AJ32" s="50"/>
      <c r="AK32" s="50"/>
      <c r="AL32" s="50"/>
      <c r="AM32" s="50"/>
      <c r="AN32" s="50"/>
      <c r="AO32" s="50"/>
      <c r="AP32" s="50"/>
      <c r="AQ32" s="50"/>
      <c r="AR32" s="50"/>
      <c r="AS32" s="50"/>
      <c r="AT32" s="50"/>
      <c r="AU32" s="50"/>
      <c r="AV32" s="50"/>
      <c r="AW32" s="50"/>
      <c r="AX32" s="50"/>
      <c r="AY32" s="50"/>
      <c r="AZ32" s="50"/>
      <c r="BA32" s="50"/>
      <c r="BB32" s="50"/>
      <c r="BC32" s="50"/>
      <c r="BD32" s="50"/>
      <c r="BE32" s="50"/>
      <c r="BF32" s="50"/>
      <c r="BG32" s="50"/>
      <c r="BH32" s="50"/>
      <c r="BI32" s="50"/>
      <c r="BJ32" s="50"/>
      <c r="BK32" s="50"/>
      <c r="BL32" s="50"/>
      <c r="BM32" s="50"/>
      <c r="BN32" s="50"/>
      <c r="BO32" s="50"/>
      <c r="BP32" s="50"/>
      <c r="BQ32" s="50"/>
      <c r="BR32" s="50"/>
      <c r="BS32" s="50"/>
      <c r="BT32" s="50"/>
      <c r="BU32" s="50"/>
      <c r="BV32" s="50"/>
      <c r="BW32" s="50"/>
      <c r="BX32" s="50"/>
      <c r="BY32" s="50"/>
      <c r="BZ32" s="50"/>
      <c r="CA32" s="50"/>
      <c r="CB32" s="50"/>
      <c r="CC32" s="50"/>
      <c r="CD32" s="50"/>
      <c r="CE32" s="50"/>
      <c r="CF32" s="50"/>
      <c r="CG32" s="50"/>
      <c r="CH32" s="50"/>
      <c r="CI32" s="50"/>
      <c r="CJ32" s="50"/>
      <c r="CK32" s="50"/>
      <c r="CL32" s="50"/>
      <c r="CM32" s="50"/>
      <c r="CN32" s="50"/>
      <c r="CO32" s="50"/>
      <c r="CP32" s="50"/>
      <c r="CQ32" s="50"/>
      <c r="CR32" s="50"/>
      <c r="CS32" s="50"/>
      <c r="CT32" s="50"/>
      <c r="CU32" s="50"/>
      <c r="CV32" s="50"/>
      <c r="CW32" s="50"/>
      <c r="CX32" s="50"/>
      <c r="CY32" s="50"/>
      <c r="CZ32" s="50"/>
      <c r="DA32" s="50"/>
      <c r="DB32" s="50"/>
      <c r="DC32" s="50"/>
      <c r="DD32" s="50"/>
      <c r="DE32" s="50"/>
      <c r="DF32" s="50"/>
      <c r="DG32" s="50"/>
      <c r="DH32" s="50"/>
      <c r="DI32" s="50"/>
      <c r="DJ32" s="50"/>
      <c r="DK32" s="50"/>
      <c r="DL32" s="50"/>
      <c r="DM32" s="50"/>
      <c r="DN32" s="50"/>
      <c r="DO32" s="50"/>
      <c r="DP32" s="50"/>
      <c r="DQ32" s="50"/>
      <c r="DR32" s="50"/>
      <c r="DS32" s="50"/>
      <c r="DT32" s="50"/>
      <c r="DU32" s="50"/>
      <c r="DV32" s="50"/>
      <c r="DW32" s="50"/>
    </row>
    <row r="33" spans="1:127" s="46" customFormat="1" ht="30" customHeight="1" thickBot="1" x14ac:dyDescent="0.25">
      <c r="A33" s="13"/>
      <c r="B33" s="74"/>
      <c r="C33" s="75"/>
      <c r="D33" s="76"/>
      <c r="E33" s="77"/>
      <c r="F33" s="77"/>
      <c r="G33" s="17"/>
      <c r="H33" s="5" t="str">
        <f t="shared" si="52"/>
        <v/>
      </c>
      <c r="I33" s="45"/>
      <c r="J33" s="45"/>
      <c r="K33" s="45"/>
      <c r="L33" s="45"/>
      <c r="M33" s="45"/>
      <c r="N33" s="45"/>
      <c r="O33" s="45"/>
      <c r="P33" s="45"/>
      <c r="Q33" s="45"/>
      <c r="R33" s="45"/>
      <c r="S33" s="45"/>
      <c r="T33" s="45"/>
      <c r="U33" s="45"/>
      <c r="V33" s="45"/>
      <c r="W33" s="45"/>
      <c r="X33" s="45"/>
      <c r="Y33" s="45"/>
      <c r="Z33" s="45"/>
      <c r="AA33" s="45"/>
      <c r="AB33" s="45"/>
      <c r="AC33" s="45"/>
      <c r="AD33" s="45"/>
      <c r="AE33" s="45"/>
      <c r="AF33" s="45"/>
      <c r="AG33" s="45"/>
      <c r="AH33" s="45"/>
      <c r="AI33" s="45"/>
      <c r="AJ33" s="45"/>
      <c r="AK33" s="45"/>
      <c r="AL33" s="45"/>
      <c r="AM33" s="45"/>
      <c r="AN33" s="45"/>
      <c r="AO33" s="45"/>
      <c r="AP33" s="45"/>
      <c r="AQ33" s="45"/>
      <c r="AR33" s="45"/>
      <c r="AS33" s="45"/>
      <c r="AT33" s="45"/>
      <c r="AU33" s="45"/>
      <c r="AV33" s="45"/>
      <c r="AW33" s="45"/>
      <c r="AX33" s="45"/>
      <c r="AY33" s="45"/>
      <c r="AZ33" s="45"/>
      <c r="BA33" s="45"/>
      <c r="BB33" s="45"/>
      <c r="BC33" s="45"/>
      <c r="BD33" s="45"/>
      <c r="BE33" s="45"/>
      <c r="BF33" s="45"/>
      <c r="BG33" s="45"/>
      <c r="BH33" s="45"/>
      <c r="BI33" s="45"/>
      <c r="BJ33" s="45"/>
      <c r="BK33" s="45"/>
      <c r="BL33" s="45"/>
      <c r="BM33" s="45"/>
      <c r="BN33" s="45"/>
      <c r="BO33" s="45"/>
      <c r="BP33" s="45"/>
      <c r="BQ33" s="45"/>
      <c r="BR33" s="45"/>
      <c r="BS33" s="45"/>
      <c r="BT33" s="45"/>
      <c r="BU33" s="45"/>
      <c r="BV33" s="45"/>
      <c r="BW33" s="45"/>
      <c r="BX33" s="45"/>
      <c r="BY33" s="45"/>
      <c r="BZ33" s="45"/>
      <c r="CA33" s="45"/>
      <c r="CB33" s="45"/>
      <c r="CC33" s="45"/>
      <c r="CD33" s="45"/>
      <c r="CE33" s="45"/>
      <c r="CF33" s="45"/>
      <c r="CG33" s="45"/>
      <c r="CH33" s="45"/>
      <c r="CI33" s="45"/>
      <c r="CJ33" s="45"/>
      <c r="CK33" s="45"/>
      <c r="CL33" s="45"/>
      <c r="CM33" s="45"/>
      <c r="CN33" s="45"/>
      <c r="CO33" s="45"/>
      <c r="CP33" s="45"/>
      <c r="CQ33" s="45"/>
      <c r="CR33" s="45"/>
      <c r="CS33" s="45"/>
      <c r="CT33" s="45"/>
      <c r="CU33" s="45"/>
      <c r="CV33" s="45"/>
      <c r="CW33" s="45"/>
      <c r="CX33" s="45"/>
      <c r="CY33" s="45"/>
      <c r="CZ33" s="45"/>
      <c r="DA33" s="45"/>
      <c r="DB33" s="45"/>
      <c r="DC33" s="45"/>
      <c r="DD33" s="45"/>
      <c r="DE33" s="45"/>
      <c r="DF33" s="45"/>
      <c r="DG33" s="45"/>
      <c r="DH33" s="45"/>
      <c r="DI33" s="45"/>
      <c r="DJ33" s="45"/>
      <c r="DK33" s="45"/>
      <c r="DL33" s="45"/>
      <c r="DM33" s="45"/>
      <c r="DN33" s="45"/>
      <c r="DO33" s="45"/>
      <c r="DP33" s="45"/>
      <c r="DQ33" s="45"/>
      <c r="DR33" s="45"/>
      <c r="DS33" s="45"/>
      <c r="DT33" s="45"/>
      <c r="DU33" s="45"/>
      <c r="DV33" s="45"/>
      <c r="DW33" s="45"/>
    </row>
    <row r="34" spans="1:127" s="46" customFormat="1" ht="30" customHeight="1" thickBot="1" x14ac:dyDescent="0.25">
      <c r="A34" s="14"/>
      <c r="B34" s="78" t="s">
        <v>0</v>
      </c>
      <c r="C34" s="79"/>
      <c r="D34" s="80"/>
      <c r="E34" s="81"/>
      <c r="F34" s="82"/>
      <c r="G34" s="17"/>
      <c r="H34" s="6" t="str">
        <f t="shared" si="52"/>
        <v/>
      </c>
      <c r="I34" s="83"/>
      <c r="J34" s="83"/>
      <c r="K34" s="83"/>
      <c r="L34" s="83"/>
      <c r="M34" s="83"/>
      <c r="N34" s="83"/>
      <c r="O34" s="83"/>
      <c r="P34" s="83"/>
      <c r="Q34" s="83"/>
      <c r="R34" s="83"/>
      <c r="S34" s="83"/>
      <c r="T34" s="83"/>
      <c r="U34" s="83"/>
      <c r="V34" s="83"/>
      <c r="W34" s="83"/>
      <c r="X34" s="83"/>
      <c r="Y34" s="83"/>
      <c r="Z34" s="83"/>
      <c r="AA34" s="83"/>
      <c r="AB34" s="83"/>
      <c r="AC34" s="83"/>
      <c r="AD34" s="83"/>
      <c r="AE34" s="83"/>
      <c r="AF34" s="83"/>
      <c r="AG34" s="83"/>
      <c r="AH34" s="83"/>
      <c r="AI34" s="83"/>
      <c r="AJ34" s="83"/>
      <c r="AK34" s="83"/>
      <c r="AL34" s="83"/>
      <c r="AM34" s="83"/>
      <c r="AN34" s="83"/>
      <c r="AO34" s="83"/>
      <c r="AP34" s="83"/>
      <c r="AQ34" s="83"/>
      <c r="AR34" s="83"/>
      <c r="AS34" s="83"/>
      <c r="AT34" s="83"/>
      <c r="AU34" s="83"/>
      <c r="AV34" s="83"/>
      <c r="AW34" s="83"/>
      <c r="AX34" s="83"/>
      <c r="AY34" s="83"/>
      <c r="AZ34" s="83"/>
      <c r="BA34" s="83"/>
      <c r="BB34" s="83"/>
      <c r="BC34" s="83"/>
      <c r="BD34" s="83"/>
      <c r="BE34" s="83"/>
      <c r="BF34" s="83"/>
      <c r="BG34" s="83"/>
      <c r="BH34" s="83"/>
      <c r="BI34" s="83"/>
      <c r="BJ34" s="83"/>
      <c r="BK34" s="83"/>
      <c r="BL34" s="83"/>
      <c r="BM34" s="83"/>
      <c r="BN34" s="83"/>
      <c r="BO34" s="83"/>
      <c r="BP34" s="83"/>
      <c r="BQ34" s="83"/>
      <c r="BR34" s="83"/>
      <c r="BS34" s="83"/>
      <c r="BT34" s="83"/>
      <c r="BU34" s="83"/>
      <c r="BV34" s="83"/>
      <c r="BW34" s="83"/>
      <c r="BX34" s="83"/>
      <c r="BY34" s="83"/>
      <c r="BZ34" s="83"/>
      <c r="CA34" s="83"/>
      <c r="CB34" s="83"/>
      <c r="CC34" s="83"/>
      <c r="CD34" s="83"/>
      <c r="CE34" s="83"/>
      <c r="CF34" s="83"/>
      <c r="CG34" s="83"/>
      <c r="CH34" s="83"/>
      <c r="CI34" s="83"/>
      <c r="CJ34" s="83"/>
      <c r="CK34" s="83"/>
      <c r="CL34" s="83"/>
      <c r="CM34" s="83"/>
      <c r="CN34" s="83"/>
      <c r="CO34" s="83"/>
      <c r="CP34" s="83"/>
      <c r="CQ34" s="83"/>
      <c r="CR34" s="83"/>
      <c r="CS34" s="83"/>
      <c r="CT34" s="83"/>
      <c r="CU34" s="83"/>
      <c r="CV34" s="83"/>
      <c r="CW34" s="83"/>
      <c r="CX34" s="83"/>
      <c r="CY34" s="83"/>
      <c r="CZ34" s="83"/>
      <c r="DA34" s="83"/>
      <c r="DB34" s="83"/>
      <c r="DC34" s="83"/>
      <c r="DD34" s="83"/>
      <c r="DE34" s="83"/>
      <c r="DF34" s="83"/>
      <c r="DG34" s="83"/>
      <c r="DH34" s="83"/>
      <c r="DI34" s="83"/>
      <c r="DJ34" s="83"/>
      <c r="DK34" s="83"/>
      <c r="DL34" s="83"/>
      <c r="DM34" s="83"/>
      <c r="DN34" s="83"/>
      <c r="DO34" s="83"/>
      <c r="DP34" s="83"/>
      <c r="DQ34" s="83"/>
      <c r="DR34" s="83"/>
      <c r="DS34" s="83"/>
      <c r="DT34" s="83"/>
      <c r="DU34" s="83"/>
      <c r="DV34" s="83"/>
      <c r="DW34" s="83"/>
    </row>
    <row r="35" spans="1:127" ht="30" customHeight="1" x14ac:dyDescent="0.2">
      <c r="G35" s="3"/>
    </row>
    <row r="36" spans="1:127" ht="30" customHeight="1" x14ac:dyDescent="0.25">
      <c r="C36" s="16"/>
      <c r="F36" s="15"/>
    </row>
    <row r="37" spans="1:127" ht="30" customHeight="1" x14ac:dyDescent="0.2">
      <c r="C37" s="4"/>
    </row>
  </sheetData>
  <mergeCells count="27">
    <mergeCell ref="DC4:DI4"/>
    <mergeCell ref="DJ4:DP4"/>
    <mergeCell ref="DQ4:DW4"/>
    <mergeCell ref="BM4:BS4"/>
    <mergeCell ref="BF4:BL4"/>
    <mergeCell ref="BT4:BZ4"/>
    <mergeCell ref="CA4:CG4"/>
    <mergeCell ref="CH4:CN4"/>
    <mergeCell ref="CO4:CU4"/>
    <mergeCell ref="CV4:DB4"/>
    <mergeCell ref="AR4:AX4"/>
    <mergeCell ref="AY4:BE4"/>
    <mergeCell ref="F5:F6"/>
    <mergeCell ref="Q2:Z2"/>
    <mergeCell ref="I1:O1"/>
    <mergeCell ref="I2:O2"/>
    <mergeCell ref="Q1:AE1"/>
    <mergeCell ref="I4:O4"/>
    <mergeCell ref="P4:V4"/>
    <mergeCell ref="W4:AC4"/>
    <mergeCell ref="AD4:AJ4"/>
    <mergeCell ref="AK4:AQ4"/>
    <mergeCell ref="A5:A6"/>
    <mergeCell ref="B5:B6"/>
    <mergeCell ref="C5:C6"/>
    <mergeCell ref="D5:D6"/>
    <mergeCell ref="E5:E6"/>
  </mergeCells>
  <conditionalFormatting sqref="D7:D34">
    <cfRule type="dataBar" priority="23">
      <dataBar>
        <cfvo type="num" val="0"/>
        <cfvo type="num" val="1"/>
        <color theme="0"/>
      </dataBar>
      <extLst>
        <ext xmlns:x14="http://schemas.microsoft.com/office/spreadsheetml/2009/9/main" uri="{B025F937-C7B1-47D3-B67F-A62EFF666E3E}">
          <x14:id>{B0389232-4C98-4A03-AD0E-39F63BAD1F53}</x14:id>
        </ext>
      </extLst>
    </cfRule>
  </conditionalFormatting>
  <conditionalFormatting sqref="I4:DV32">
    <cfRule type="expression" dxfId="14" priority="1">
      <formula>AND(TODAY()&gt;=I$5, TODAY()&lt;J$5)</formula>
    </cfRule>
  </conditionalFormatting>
  <conditionalFormatting sqref="I9:DV13">
    <cfRule type="expression" dxfId="13" priority="7" stopIfTrue="1">
      <formula>AND(task_end&gt;=I$5,task_start&lt;J$5)</formula>
    </cfRule>
  </conditionalFormatting>
  <conditionalFormatting sqref="I15:DV19">
    <cfRule type="expression" dxfId="12" priority="5" stopIfTrue="1">
      <formula>AND(task_end&gt;=I$5,task_start&lt;J$5)</formula>
    </cfRule>
  </conditionalFormatting>
  <conditionalFormatting sqref="I21:DV27">
    <cfRule type="expression" dxfId="11" priority="3" stopIfTrue="1">
      <formula>AND(task_end&gt;=I$5,task_start&lt;J$5)</formula>
    </cfRule>
  </conditionalFormatting>
  <conditionalFormatting sqref="I29:DV32">
    <cfRule type="expression" dxfId="10" priority="36">
      <formula>AND(task_start&lt;=I$5,ROUNDDOWN((task_end-task_start+1)*task_progress,0)+task_start-1&gt;=I$5)</formula>
    </cfRule>
    <cfRule type="expression" dxfId="9" priority="37" stopIfTrue="1">
      <formula>AND(task_end&gt;=I$5,task_start&lt;J$5)</formula>
    </cfRule>
  </conditionalFormatting>
  <conditionalFormatting sqref="I9:DW13">
    <cfRule type="expression" dxfId="8" priority="6">
      <formula>AND(task_start&lt;=I$5,ROUNDDOWN((task_end-task_start+1)*task_progress,0)+task_start-1&gt;=I$5)</formula>
    </cfRule>
  </conditionalFormatting>
  <conditionalFormatting sqref="I15:DW19">
    <cfRule type="expression" dxfId="7" priority="4">
      <formula>AND(task_start&lt;=I$5,ROUNDDOWN((task_end-task_start+1)*task_progress,0)+task_start-1&gt;=I$5)</formula>
    </cfRule>
  </conditionalFormatting>
  <conditionalFormatting sqref="I21:DW27">
    <cfRule type="expression" dxfId="6" priority="2">
      <formula>AND(task_start&lt;=I$5,ROUNDDOWN((task_end-task_start+1)*task_progress,0)+task_start-1&gt;=I$5)</formula>
    </cfRule>
  </conditionalFormatting>
  <conditionalFormatting sqref="DW4:DW32">
    <cfRule type="expression" dxfId="5" priority="39">
      <formula>AND(TODAY()&gt;=DW$5, TODAY()&lt;#REF!)</formula>
    </cfRule>
  </conditionalFormatting>
  <conditionalFormatting sqref="DW9:DW13">
    <cfRule type="expression" dxfId="4" priority="43" stopIfTrue="1">
      <formula>AND(task_end&gt;=DW$5,task_start&lt;#REF!)</formula>
    </cfRule>
  </conditionalFormatting>
  <conditionalFormatting sqref="DW15:DW19">
    <cfRule type="expression" dxfId="3" priority="47" stopIfTrue="1">
      <formula>AND(task_end&gt;=DW$5,task_start&lt;#REF!)</formula>
    </cfRule>
  </conditionalFormatting>
  <conditionalFormatting sqref="DW21:DW27">
    <cfRule type="expression" dxfId="2" priority="51" stopIfTrue="1">
      <formula>AND(task_end&gt;=DW$5,task_start&lt;#REF!)</formula>
    </cfRule>
  </conditionalFormatting>
  <conditionalFormatting sqref="DW29:DW32">
    <cfRule type="expression" dxfId="1" priority="54">
      <formula>AND(task_start&lt;=DW$5,ROUNDDOWN((task_end-task_start+1)*task_progress,0)+task_start-1&gt;=DW$5)</formula>
    </cfRule>
    <cfRule type="expression" dxfId="0" priority="55" stopIfTrue="1">
      <formula>AND(task_end&gt;=DW$5,task_start&lt;#REF!)</formula>
    </cfRule>
  </conditionalFormatting>
  <dataValidations count="13">
    <dataValidation type="whole" operator="greaterThanOrEqual" allowBlank="1" showInputMessage="1" promptTitle="Display Week" prompt="Changing this number will scroll the Gantt Chart view." sqref="Q2" xr:uid="{00000000-0002-0000-0000-000000000000}">
      <formula1>1</formula1>
    </dataValidation>
    <dataValidation allowBlank="1" showInputMessage="1" showErrorMessage="1" prompt="Create a Project Schedule in this worksheet._x000a_Enter title of this project in cell B1. _x000a_Information on how to use this worksheet, including instructions for screen readers and the author of this workbook, is in the About worksheet._x000a_" sqref="A1" xr:uid="{D005F8F4-EA16-4627-8A05-1997BE425B88}"/>
    <dataValidation allowBlank="1" showInputMessage="1" showErrorMessage="1" prompt="Enter Company name in cel B2." sqref="A2" xr:uid="{75F274B0-5B30-4CC0-A53C-C012C0845179}"/>
    <dataValidation allowBlank="1" showInputMessage="1" showErrorMessage="1" prompt="Enter the name of the Project Lead in cell C3. Enter the Project Start date in cell Q1. Project Start: label is in cell I1." sqref="A3" xr:uid="{EEA7C783-457F-401F-98B9-9035587B9210}"/>
    <dataValidation allowBlank="1" showInputMessage="1" showErrorMessage="1" prompt="The Display week in cell Q2 is the starting week to display in the project schedule in cell I4. The project start date is Week 1. To change the display week, enter a new week number in cell Q2._x000a__x000a_Start date for each week is auto calculated starting in I4." sqref="A4" xr:uid="{43382715-6BC7-4B19-A31B-4B13A11ED166}"/>
    <dataValidation allowBlank="1" showInputMessage="1" showErrorMessage="1" prompt="Cells I5 through BL5 contain the day number for the week represented in the cell block above each date and are auto calculated._x000a__x000a_Today's date is outlined from today's date in row 5 through the entire date column to the end of the project schedule." sqref="A5:A6" xr:uid="{7A3789A6-A3FB-43B6-A4F7-8C0AC564F67E}"/>
    <dataValidation allowBlank="1" showInputMessage="1" showErrorMessage="1" prompt="Cell B8 contains the Phase 1 sample title. Enter a new title in cell B8._x000a_To delete the phase and work only from tasks, simply delete this row." sqref="A8" xr:uid="{CEC78982-AFA8-419E-B0A2-676B709E5100}"/>
    <dataValidation allowBlank="1" showInputMessage="1" showErrorMessage="1" prompt="B9 contains the task name.  C9 is the assignee.  D9 is a progress bar that shades based on the number entered into the cell.  _x000a__x000a_E9 contains the start date and F9 contains the end date._x000a__x000a_The Gantt chart will fill in starting in cell I9 based on task dates." sqref="A9" xr:uid="{D870A2F6-6B07-4F5A-A81D-4BCCFADF8796}"/>
    <dataValidation allowBlank="1" showInputMessage="1" showErrorMessage="1" prompt="Rows 10 through 13 repeat the pattern from row 9. _x000a__x000a_Repeat the instructions from cell A9 for all task rows in this worksheet. _x000a__x000a_Continue entering tasks in cells A10 through A13 or go to cell A14 to learn more." sqref="A10" xr:uid="{872449A7-C3CC-45B6-BA90-B1AAD66BA0E5}"/>
    <dataValidation allowBlank="1" showInputMessage="1" showErrorMessage="1" prompt="Cell B14 contains the Phase 2 sample title. Enter a new title in cell B14._x000a_To delete the phase and work only from tasks, simply delete this row. To remove the phase, simply delete the row. Add tasks to previous phase by entering a new row above this one._x000a_" sqref="A14" xr:uid="{4F48FC41-E335-47F1-87AA-3333A52AD81C}"/>
    <dataValidation allowBlank="1" showInputMessage="1" showErrorMessage="1" prompt="Phase 3's sample block starts in cell B20." sqref="A20" xr:uid="{956902D1-D3B5-416D-BB69-9362D193BC0A}"/>
    <dataValidation allowBlank="1" showInputMessage="1" showErrorMessage="1" prompt="Phase 4's sample block starts in cell B26." sqref="A28" xr:uid="{DE54E5DE-526D-4D71-8D03-E99B4AB2FEE5}"/>
    <dataValidation allowBlank="1" showInputMessage="1" showErrorMessage="1" prompt="This row marks the end of the Project Schedule. DO NOT enter anything in this row. _x000a_Insert new rows ABOVE this one to continue building out your Project Schedule." sqref="A34" xr:uid="{79B9237E-4DD3-4E0F-8ED6-E0B695A99D96}"/>
  </dataValidations>
  <hyperlinks>
    <hyperlink ref="B4" r:id="rId1" xr:uid="{00000000-0004-0000-0000-000000000000}"/>
    <hyperlink ref="B3" r:id="rId2" xr:uid="{00000000-0004-0000-0000-000001000000}"/>
  </hyperlinks>
  <printOptions horizontalCentered="1"/>
  <pageMargins left="0.35" right="0.35" top="0.35" bottom="0.5" header="0.3" footer="0.3"/>
  <pageSetup scale="57" fitToHeight="0" orientation="landscape" r:id="rId3"/>
  <headerFooter differentFirst="1" scaleWithDoc="0">
    <oddFooter>Page &amp;P of &amp;N</oddFooter>
  </headerFooter>
  <extLst>
    <ext xmlns:x14="http://schemas.microsoft.com/office/spreadsheetml/2009/9/main" uri="{78C0D931-6437-407d-A8EE-F0AAD7539E65}">
      <x14:conditionalFormattings>
        <x14:conditionalFormatting xmlns:xm="http://schemas.microsoft.com/office/excel/2006/main">
          <x14:cfRule type="dataBar" id="{B0389232-4C98-4A03-AD0E-39F63BAD1F53}">
            <x14:dataBar minLength="0" maxLength="100" gradient="0">
              <x14:cfvo type="num">
                <xm:f>0</xm:f>
              </x14:cfvo>
              <x14:cfvo type="num">
                <xm:f>1</xm:f>
              </x14:cfvo>
              <x14:negativeFillColor rgb="FFFF0000"/>
              <x14:axisColor rgb="FF000000"/>
            </x14:dataBar>
          </x14:cfRule>
          <xm:sqref>D7:D34</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24"/>
  <sheetViews>
    <sheetView showGridLines="0" topLeftCell="A8" zoomScaleNormal="100" workbookViewId="0">
      <selection activeCell="A10" sqref="A10"/>
    </sheetView>
  </sheetViews>
  <sheetFormatPr defaultColWidth="9" defaultRowHeight="12.75" x14ac:dyDescent="0.2"/>
  <cols>
    <col min="1" max="1" width="87" style="7" customWidth="1"/>
    <col min="2" max="16384" width="9" style="1"/>
  </cols>
  <sheetData>
    <row r="1" spans="1:2" ht="46.5" customHeight="1" x14ac:dyDescent="0.2"/>
    <row r="2" spans="1:2" s="9" customFormat="1" ht="15.75" x14ac:dyDescent="0.2">
      <c r="A2" s="87" t="s">
        <v>8</v>
      </c>
      <c r="B2" s="8"/>
    </row>
    <row r="3" spans="1:2" s="11" customFormat="1" ht="27" customHeight="1" x14ac:dyDescent="0.2">
      <c r="A3" s="88"/>
      <c r="B3" s="12"/>
    </row>
    <row r="4" spans="1:2" s="10" customFormat="1" ht="31.5" x14ac:dyDescent="0.6">
      <c r="A4" s="89" t="s">
        <v>7</v>
      </c>
    </row>
    <row r="5" spans="1:2" ht="74.25" customHeight="1" x14ac:dyDescent="0.2">
      <c r="A5" s="90" t="s">
        <v>16</v>
      </c>
    </row>
    <row r="6" spans="1:2" ht="26.25" customHeight="1" x14ac:dyDescent="0.2">
      <c r="A6" s="89" t="s">
        <v>19</v>
      </c>
    </row>
    <row r="7" spans="1:2" s="7" customFormat="1" ht="205.15" customHeight="1" x14ac:dyDescent="0.2">
      <c r="A7" s="91" t="s">
        <v>18</v>
      </c>
    </row>
    <row r="8" spans="1:2" s="10" customFormat="1" ht="31.5" x14ac:dyDescent="0.6">
      <c r="A8" s="89" t="s">
        <v>9</v>
      </c>
    </row>
    <row r="9" spans="1:2" ht="57" x14ac:dyDescent="0.2">
      <c r="A9" s="90" t="s">
        <v>17</v>
      </c>
    </row>
    <row r="10" spans="1:2" s="7" customFormat="1" ht="28.15" customHeight="1" x14ac:dyDescent="0.2">
      <c r="A10" s="92" t="s">
        <v>15</v>
      </c>
    </row>
    <row r="11" spans="1:2" s="10" customFormat="1" ht="31.5" x14ac:dyDescent="0.6">
      <c r="A11" s="89" t="s">
        <v>6</v>
      </c>
    </row>
    <row r="12" spans="1:2" ht="28.5" x14ac:dyDescent="0.2">
      <c r="A12" s="90" t="s">
        <v>14</v>
      </c>
    </row>
    <row r="13" spans="1:2" s="7" customFormat="1" ht="28.15" customHeight="1" x14ac:dyDescent="0.2">
      <c r="A13" s="92" t="s">
        <v>2</v>
      </c>
    </row>
    <row r="14" spans="1:2" s="10" customFormat="1" ht="31.5" x14ac:dyDescent="0.6">
      <c r="A14" s="89" t="s">
        <v>10</v>
      </c>
    </row>
    <row r="15" spans="1:2" ht="75" customHeight="1" x14ac:dyDescent="0.2">
      <c r="A15" s="90" t="s">
        <v>11</v>
      </c>
    </row>
    <row r="16" spans="1:2" ht="71.25" x14ac:dyDescent="0.2">
      <c r="A16" s="90" t="s">
        <v>12</v>
      </c>
    </row>
    <row r="17" spans="1:1" x14ac:dyDescent="0.2">
      <c r="A17" s="93"/>
    </row>
    <row r="18" spans="1:1" x14ac:dyDescent="0.2">
      <c r="A18" s="93"/>
    </row>
    <row r="19" spans="1:1" x14ac:dyDescent="0.2">
      <c r="A19" s="93"/>
    </row>
    <row r="20" spans="1:1" x14ac:dyDescent="0.2">
      <c r="A20" s="93"/>
    </row>
    <row r="21" spans="1:1" x14ac:dyDescent="0.2">
      <c r="A21" s="93"/>
    </row>
    <row r="22" spans="1:1" x14ac:dyDescent="0.2">
      <c r="A22" s="93"/>
    </row>
    <row r="23" spans="1:1" x14ac:dyDescent="0.2">
      <c r="A23" s="93"/>
    </row>
    <row r="24" spans="1:1" x14ac:dyDescent="0.2">
      <c r="A24" s="93"/>
    </row>
  </sheetData>
  <hyperlinks>
    <hyperlink ref="A13" r:id="rId1" xr:uid="{00000000-0004-0000-0100-000000000000}"/>
    <hyperlink ref="A10" r:id="rId2" xr:uid="{00000000-0004-0000-0100-000001000000}"/>
    <hyperlink ref="A2" r:id="rId3" xr:uid="{00000000-0004-0000-0100-000003000000}"/>
  </hyperlinks>
  <pageMargins left="0.5" right="0.5" top="0.5" bottom="0.5" header="0.3" footer="0.3"/>
  <pageSetup orientation="portrait" r:id="rId4"/>
  <drawing r:id="rId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Image xmlns="71af3243-3dd4-4a8d-8c0d-dd76da1f02a5">
      <Url xsi:nil="true"/>
      <Description xsi:nil="true"/>
    </Image>
    <Status xmlns="71af3243-3dd4-4a8d-8c0d-dd76da1f02a5">Not started</Status>
    <Background xmlns="71af3243-3dd4-4a8d-8c0d-dd76da1f02a5">false</Background>
    <_ip_UnifiedCompliancePolicyProperties xmlns="http://schemas.microsoft.com/sharepoint/v3" xsi:nil="true"/>
    <ImageTagsTaxHTField xmlns="71af3243-3dd4-4a8d-8c0d-dd76da1f02a5">
      <Terms xmlns="http://schemas.microsoft.com/office/infopath/2007/PartnerControls"/>
    </ImageTagsTaxHTField>
    <TaxCatchAll xmlns="230e9df3-be65-4c73-a93b-d1236ebd677e" xsi:nil="true"/>
    <MediaServiceKeyPoints xmlns="71af3243-3dd4-4a8d-8c0d-dd76da1f02a5"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79F111ED35F8CC479449609E8A0923A6" ma:contentTypeVersion="28" ma:contentTypeDescription="Create a new document." ma:contentTypeScope="" ma:versionID="60f5a4f2d2b0abadcf532d48ebf9cb71">
  <xsd:schema xmlns:xsd="http://www.w3.org/2001/XMLSchema" xmlns:xs="http://www.w3.org/2001/XMLSchema" xmlns:p="http://schemas.microsoft.com/office/2006/metadata/properties" xmlns:ns1="http://schemas.microsoft.com/sharepoint/v3" xmlns:ns2="71af3243-3dd4-4a8d-8c0d-dd76da1f02a5" xmlns:ns3="16c05727-aa75-4e4a-9b5f-8a80a1165891" xmlns:ns4="230e9df3-be65-4c73-a93b-d1236ebd677e" targetNamespace="http://schemas.microsoft.com/office/2006/metadata/properties" ma:root="true" ma:fieldsID="7dd78129e6a1811f84807ad11c651531" ns1:_="" ns2:_="" ns3:_="" ns4:_="">
    <xsd:import namespace="http://schemas.microsoft.com/sharepoint/v3"/>
    <xsd:import namespace="71af3243-3dd4-4a8d-8c0d-dd76da1f02a5"/>
    <xsd:import namespace="16c05727-aa75-4e4a-9b5f-8a80a1165891"/>
    <xsd:import namespace="230e9df3-be65-4c73-a93b-d1236ebd677e"/>
    <xsd:element name="properties">
      <xsd:complexType>
        <xsd:sequence>
          <xsd:element name="documentManagement">
            <xsd:complexType>
              <xsd:all>
                <xsd:element ref="ns2:Status" minOccurs="0"/>
                <xsd:element ref="ns2:Image" minOccurs="0"/>
                <xsd:element ref="ns2:MediaServiceMetadata" minOccurs="0"/>
                <xsd:element ref="ns2:MediaServiceFastMetadata" minOccurs="0"/>
                <xsd:element ref="ns2:MediaServiceOCR" minOccurs="0"/>
                <xsd:element ref="ns2:MediaServiceAutoTags" minOccurs="0"/>
                <xsd:element ref="ns2:MediaServiceEventHashCode" minOccurs="0"/>
                <xsd:element ref="ns2:MediaServiceGenerationTime" minOccurs="0"/>
                <xsd:element ref="ns3:SharedWithUsers" minOccurs="0"/>
                <xsd:element ref="ns3:SharedWithDetails" minOccurs="0"/>
                <xsd:element ref="ns2:MediaServiceAutoKeyPoints" minOccurs="0"/>
                <xsd:element ref="ns2:MediaServiceKeyPoints" minOccurs="0"/>
                <xsd:element ref="ns2:MediaServiceDateTaken" minOccurs="0"/>
                <xsd:element ref="ns1:_ip_UnifiedCompliancePolicyProperties" minOccurs="0"/>
                <xsd:element ref="ns1:_ip_UnifiedCompliancePolicyUIAction" minOccurs="0"/>
                <xsd:element ref="ns4:TaxCatchAll" minOccurs="0"/>
                <xsd:element ref="ns2:ImageTagsTaxHTField" minOccurs="0"/>
                <xsd:element ref="ns2:MediaServiceLocation" minOccurs="0"/>
                <xsd:element ref="ns2:MediaLengthInSeconds" minOccurs="0"/>
                <xsd:element ref="ns2:Background" minOccurs="0"/>
                <xsd:element ref="ns2:MediaServiceSearchProperties" minOccurs="0"/>
                <xsd:element ref="ns2:MediaServiceDocTags" minOccurs="0"/>
                <xsd:element ref="ns2:MediaServiceObjectDetectorVersions" minOccurs="0"/>
                <xsd:element ref="ns2:MediaServiceSystemTag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ma:readOnly="false">
      <xsd:simpleType>
        <xsd:restriction base="dms:Note"/>
      </xsd:simpleType>
    </xsd:element>
    <xsd:element name="_ip_UnifiedCompliancePolicyUIAction" ma:index="21" nillable="true" ma:displayName="Unified Compliance Policy UI Action" ma:hidden="true" ma:internalName="_ip_UnifiedCompliancePolicyUIAction" ma:readOnly="fals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1af3243-3dd4-4a8d-8c0d-dd76da1f02a5" elementFormDefault="qualified">
    <xsd:import namespace="http://schemas.microsoft.com/office/2006/documentManagement/types"/>
    <xsd:import namespace="http://schemas.microsoft.com/office/infopath/2007/PartnerControls"/>
    <xsd:element name="Status" ma:index="2" nillable="true" ma:displayName="Status" ma:default="Not started" ma:format="Dropdown" ma:internalName="Status" ma:readOnly="false">
      <xsd:simpleType>
        <xsd:restriction base="dms:Choice">
          <xsd:enumeration value="Not started"/>
          <xsd:enumeration value="In Progress"/>
          <xsd:enumeration value="Completed"/>
        </xsd:restriction>
      </xsd:simpleType>
    </xsd:element>
    <xsd:element name="Image" ma:index="3" nillable="true" ma:displayName="Image" ma:format="Image" ma:internalName="Image" ma:readOnly="false">
      <xsd:complexType>
        <xsd:complexContent>
          <xsd:extension base="dms:URL">
            <xsd:sequence>
              <xsd:element name="Url" type="dms:ValidUrl" minOccurs="0" nillable="true"/>
              <xsd:element name="Description" type="xsd:string" nillable="true"/>
            </xsd:sequence>
          </xsd:extension>
        </xsd:complexContent>
      </xsd:complexType>
    </xsd:element>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0" nillable="true" ma:displayName="MediaServiceOCR" ma:hidden="true" ma:internalName="MediaServiceOCR" ma:readOnly="true">
      <xsd:simpleType>
        <xsd:restriction base="dms:Note"/>
      </xsd:simpleType>
    </xsd:element>
    <xsd:element name="MediaServiceAutoTags" ma:index="11" nillable="true" ma:displayName="MediaServiceAutoTags" ma:hidden="true" ma:internalName="MediaServiceAutoTags"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hidden="true" ma:internalName="MediaServiceKeyPoints" ma:readOnly="false">
      <xsd:simpleType>
        <xsd:restriction base="dms:Note"/>
      </xsd:simpleType>
    </xsd:element>
    <xsd:element name="MediaServiceDateTaken" ma:index="18" nillable="true" ma:displayName="MediaServiceDateTaken" ma:hidden="true" ma:internalName="MediaServiceDateTaken" ma:readOnly="true">
      <xsd:simpleType>
        <xsd:restriction base="dms:Text"/>
      </xsd:simpleType>
    </xsd:element>
    <xsd:element name="ImageTagsTaxHTField" ma:index="25" nillable="true" ma:taxonomy="true" ma:internalName="ImageTagsTaxHTField" ma:taxonomyFieldName="MediaServiceImageTags" ma:displayName="Image Tags" ma:readOnly="false" ma:fieldId="{5cf76f15-5ced-4ddc-b409-7134ff3c332f}" ma:taxonomyMulti="true" ma:sspId="e385fb40-52d4-4fae-9c5b-3e8ff8a5878e" ma:termSetId="09814cd3-568e-fe90-9814-8d621ff8fb84" ma:anchorId="fba54fb3-c3e1-fe81-a776-ca4b69148c4d" ma:open="true" ma:isKeyword="false">
      <xsd:complexType>
        <xsd:sequence>
          <xsd:element ref="pc:Terms" minOccurs="0" maxOccurs="1"/>
        </xsd:sequence>
      </xsd:complexType>
    </xsd:element>
    <xsd:element name="MediaServiceLocation" ma:index="26" nillable="true" ma:displayName="Location" ma:hidden="true" ma:internalName="MediaServiceLocation" ma:readOnly="true">
      <xsd:simpleType>
        <xsd:restriction base="dms:Text"/>
      </xsd:simpleType>
    </xsd:element>
    <xsd:element name="MediaLengthInSeconds" ma:index="27" nillable="true" ma:displayName="MediaLengthInSeconds" ma:hidden="true" ma:internalName="MediaLengthInSeconds" ma:readOnly="true">
      <xsd:simpleType>
        <xsd:restriction base="dms:Unknown"/>
      </xsd:simpleType>
    </xsd:element>
    <xsd:element name="Background" ma:index="28" nillable="true" ma:displayName="Background" ma:default="0" ma:format="Dropdown" ma:internalName="Background">
      <xsd:simpleType>
        <xsd:restriction base="dms:Boolean"/>
      </xsd:simpleType>
    </xsd:element>
    <xsd:element name="MediaServiceSearchProperties" ma:index="29" nillable="true" ma:displayName="MediaServiceSearchProperties" ma:hidden="true" ma:internalName="MediaServiceSearchProperties" ma:readOnly="true">
      <xsd:simpleType>
        <xsd:restriction base="dms:Note"/>
      </xsd:simpleType>
    </xsd:element>
    <xsd:element name="MediaServiceDocTags" ma:index="30" nillable="true" ma:displayName="MediaServiceDocTags" ma:hidden="true" ma:internalName="MediaServiceDocTags" ma:readOnly="true">
      <xsd:simpleType>
        <xsd:restriction base="dms:Note"/>
      </xsd:simpleType>
    </xsd:element>
    <xsd:element name="MediaServiceObjectDetectorVersions" ma:index="31" nillable="true" ma:displayName="MediaServiceObjectDetectorVersions" ma:description="" ma:hidden="true" ma:indexed="true" ma:internalName="MediaServiceObjectDetectorVersions" ma:readOnly="true">
      <xsd:simpleType>
        <xsd:restriction base="dms:Text"/>
      </xsd:simpleType>
    </xsd:element>
    <xsd:element name="MediaServiceSystemTags" ma:index="32" nillable="true" ma:displayName="MediaServiceSystemTags" ma:hidden="true" ma:internalName="MediaServiceSystemTag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6c05727-aa75-4e4a-9b5f-8a80a1165891" elementFormDefault="qualified">
    <xsd:import namespace="http://schemas.microsoft.com/office/2006/documentManagement/types"/>
    <xsd:import namespace="http://schemas.microsoft.com/office/infopath/2007/PartnerControls"/>
    <xsd:element name="SharedWithUsers" ma:index="14" nillable="true" ma:displayName="Shared With" ma:hidden="true"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hidden="true" ma:internalName="SharedWithDetail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30e9df3-be65-4c73-a93b-d1236ebd677e"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3f6bfcbc-3db3-4ae6-bd76-326f0798ad28}" ma:internalName="TaxCatchAll" ma:readOnly="false" ma:showField="CatchAllData" ma:web="16c05727-aa75-4e4a-9b5f-8a80a116589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A82239A0-E68C-493F-BEE6-C77FEA397FD6}">
  <ds:schemaRefs>
    <ds:schemaRef ds:uri="http://purl.org/dc/elements/1.1/"/>
    <ds:schemaRef ds:uri="16c05727-aa75-4e4a-9b5f-8a80a1165891"/>
    <ds:schemaRef ds:uri="http://schemas.microsoft.com/sharepoint/v3"/>
    <ds:schemaRef ds:uri="http://schemas.microsoft.com/office/2006/documentManagement/types"/>
    <ds:schemaRef ds:uri="http://schemas.microsoft.com/office/infopath/2007/PartnerControls"/>
    <ds:schemaRef ds:uri="http://purl.org/dc/dcmitype/"/>
    <ds:schemaRef ds:uri="http://schemas.openxmlformats.org/package/2006/metadata/core-properties"/>
    <ds:schemaRef ds:uri="230e9df3-be65-4c73-a93b-d1236ebd677e"/>
    <ds:schemaRef ds:uri="http://schemas.microsoft.com/office/2006/metadata/properties"/>
    <ds:schemaRef ds:uri="71af3243-3dd4-4a8d-8c0d-dd76da1f02a5"/>
    <ds:schemaRef ds:uri="http://www.w3.org/XML/1998/namespace"/>
    <ds:schemaRef ds:uri="http://purl.org/dc/terms/"/>
  </ds:schemaRefs>
</ds:datastoreItem>
</file>

<file path=customXml/itemProps2.xml><?xml version="1.0" encoding="utf-8"?>
<ds:datastoreItem xmlns:ds="http://schemas.openxmlformats.org/officeDocument/2006/customXml" ds:itemID="{97245281-08F3-4104-84BD-39F3D8CFB195}">
  <ds:schemaRefs>
    <ds:schemaRef ds:uri="http://schemas.microsoft.com/sharepoint/v3/contenttype/forms"/>
  </ds:schemaRefs>
</ds:datastoreItem>
</file>

<file path=customXml/itemProps3.xml><?xml version="1.0" encoding="utf-8"?>
<ds:datastoreItem xmlns:ds="http://schemas.openxmlformats.org/officeDocument/2006/customXml" ds:itemID="{A09426A3-87E9-4865-8A6C-3456B026AE0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71af3243-3dd4-4a8d-8c0d-dd76da1f02a5"/>
    <ds:schemaRef ds:uri="16c05727-aa75-4e4a-9b5f-8a80a1165891"/>
    <ds:schemaRef ds:uri="230e9df3-be65-4c73-a93b-d1236ebd677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file>

<file path=docProps/app.xml><?xml version="1.0" encoding="utf-8"?>
<Properties xmlns="http://schemas.openxmlformats.org/officeDocument/2006/extended-properties" xmlns:vt="http://schemas.openxmlformats.org/officeDocument/2006/docPropsVTypes">
  <Template>TM16400962</Template>
  <Application>Microsoft Excel</Application>
  <DocSecurity>0</DocSecurity>
  <ScaleCrop>false</ScaleCrop>
  <HeadingPairs>
    <vt:vector size="4" baseType="variant">
      <vt:variant>
        <vt:lpstr>Worksheets</vt:lpstr>
      </vt:variant>
      <vt:variant>
        <vt:i4>2</vt:i4>
      </vt:variant>
      <vt:variant>
        <vt:lpstr>Named Ranges</vt:lpstr>
      </vt:variant>
      <vt:variant>
        <vt:i4>6</vt:i4>
      </vt:variant>
    </vt:vector>
  </HeadingPairs>
  <TitlesOfParts>
    <vt:vector size="8" baseType="lpstr">
      <vt:lpstr>Project schedule</vt:lpstr>
      <vt:lpstr>About</vt:lpstr>
      <vt:lpstr>Display_Week</vt:lpstr>
      <vt:lpstr>'Project schedule'!Print_Titles</vt:lpstr>
      <vt:lpstr>Project_Start</vt:lpstr>
      <vt:lpstr>'Project schedule'!task_end</vt:lpstr>
      <vt:lpstr>'Project schedule'!task_progress</vt:lpstr>
      <vt:lpstr>'Project schedule'!task_start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William Lam</dc:creator>
  <dc:description/>
  <cp:lastModifiedBy>William Lam</cp:lastModifiedBy>
  <dcterms:created xsi:type="dcterms:W3CDTF">2022-03-11T22:41:12Z</dcterms:created>
  <dcterms:modified xsi:type="dcterms:W3CDTF">2026-07-22T09:22:24Z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0x01010079F111ED35F8CC479449609E8A0923A6</vt:lpwstr>
  </property>
  <property fmtid="{D5CDD505-2E9C-101B-9397-08002B2CF9AE}" pid="3" name="MediaServiceImageTags">
    <vt:lpwstr/>
  </property>
</Properties>
</file>