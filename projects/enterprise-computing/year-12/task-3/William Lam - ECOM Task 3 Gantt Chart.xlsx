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willi\My Drive\School\Enterprise\Task 3\"/>
    </mc:Choice>
  </mc:AlternateContent>
  <xr:revisionPtr revIDLastSave="0" documentId="13_ncr:1_{EDAFD18A-822F-4C2F-BEA6-E2BC3F2E5025}" xr6:coauthVersionLast="47" xr6:coauthVersionMax="47" xr10:uidLastSave="{00000000-0000-0000-0000-000000000000}"/>
  <bookViews>
    <workbookView xWindow="-120" yWindow="450" windowWidth="38640" windowHeight="1587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1" l="1"/>
  <c r="F17" i="11" s="1"/>
  <c r="E19" i="11" s="1"/>
  <c r="E28" i="11"/>
  <c r="E27" i="11"/>
  <c r="F20" i="11"/>
  <c r="E21" i="11" s="1"/>
  <c r="E22" i="11"/>
  <c r="E23" i="11"/>
  <c r="H7" i="11"/>
  <c r="E20" i="11" l="1"/>
  <c r="E9" i="11"/>
  <c r="F9" i="11" l="1"/>
  <c r="E10" i="11" s="1"/>
  <c r="I5" i="11"/>
  <c r="H31" i="11"/>
  <c r="H30" i="11"/>
  <c r="H24" i="11"/>
  <c r="H18" i="11"/>
  <c r="H13" i="11"/>
  <c r="H8" i="11"/>
  <c r="H19" i="11" l="1"/>
  <c r="H9" i="11"/>
  <c r="F10" i="11"/>
  <c r="E11" i="11" s="1"/>
  <c r="F11" i="11" s="1"/>
  <c r="E12" i="11" s="1"/>
  <c r="F12" i="11" s="1"/>
  <c r="E14" i="11" s="1"/>
  <c r="I6" i="11"/>
  <c r="H20" i="11" l="1"/>
  <c r="H10" i="11"/>
  <c r="J5" i="11"/>
  <c r="K5" i="11" s="1"/>
  <c r="L5" i="11" s="1"/>
  <c r="M5" i="11" s="1"/>
  <c r="N5" i="11" s="1"/>
  <c r="O5" i="11" s="1"/>
  <c r="P5" i="11" s="1"/>
  <c r="I4" i="11"/>
  <c r="H23" i="11" l="1"/>
  <c r="H21" i="11"/>
  <c r="H11" i="11"/>
  <c r="P4" i="11"/>
  <c r="Q5" i="11"/>
  <c r="R5" i="11" s="1"/>
  <c r="S5" i="11" s="1"/>
  <c r="T5" i="11" s="1"/>
  <c r="U5" i="11" s="1"/>
  <c r="V5" i="11" s="1"/>
  <c r="W5" i="11" s="1"/>
  <c r="J6" i="11"/>
  <c r="E26" i="11" l="1"/>
  <c r="H12" i="11"/>
  <c r="W4" i="11"/>
  <c r="X5" i="11"/>
  <c r="Y5" i="11" s="1"/>
  <c r="Z5" i="11" s="1"/>
  <c r="AA5" i="11" s="1"/>
  <c r="AB5" i="11" s="1"/>
  <c r="AC5" i="11" s="1"/>
  <c r="AD5" i="11" s="1"/>
  <c r="K6" i="11"/>
  <c r="H29" i="11" l="1"/>
  <c r="H25" i="11"/>
  <c r="AE5" i="11"/>
  <c r="AF5" i="11" s="1"/>
  <c r="AG5" i="11" s="1"/>
  <c r="AH5" i="11" s="1"/>
  <c r="AI5" i="11" s="1"/>
  <c r="AJ5" i="11" s="1"/>
  <c r="AD4" i="11"/>
  <c r="L6" i="11"/>
  <c r="H26" i="11" l="1"/>
  <c r="H14" i="11"/>
  <c r="E15" i="11"/>
  <c r="AK5" i="11"/>
  <c r="AL5" i="11" s="1"/>
  <c r="AM5" i="11" s="1"/>
  <c r="AN5" i="11" s="1"/>
  <c r="AO5" i="11" s="1"/>
  <c r="AP5" i="11" s="1"/>
  <c r="AQ5" i="11" s="1"/>
  <c r="M6" i="11"/>
  <c r="E16" i="11" l="1"/>
  <c r="H15" i="11"/>
  <c r="AR5" i="11"/>
  <c r="AS5" i="11" s="1"/>
  <c r="AK4" i="11"/>
  <c r="N6" i="11"/>
  <c r="H16" i="11" l="1"/>
  <c r="AT5" i="1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N6" i="11" l="1"/>
  <c r="BO5" i="11"/>
  <c r="AH6" i="11"/>
  <c r="BO6" i="11" l="1"/>
  <c r="BP5" i="11"/>
  <c r="AI6" i="11"/>
  <c r="BP6" i="11" l="1"/>
  <c r="BQ5" i="11"/>
  <c r="AJ6" i="11"/>
  <c r="BQ6" i="11" l="1"/>
  <c r="BR5" i="11"/>
  <c r="AK6" i="11"/>
  <c r="BR6" i="11" l="1"/>
  <c r="BS5" i="11"/>
  <c r="AL6" i="11"/>
  <c r="BT5" i="11" l="1"/>
  <c r="BS6" i="11"/>
  <c r="AM6" i="11"/>
  <c r="BT4" i="11" l="1"/>
  <c r="BU5" i="11"/>
  <c r="BT6" i="11"/>
  <c r="AN6" i="11"/>
  <c r="BU6" i="11" l="1"/>
  <c r="BV5" i="11"/>
  <c r="AO6" i="11"/>
  <c r="BV6" i="11" l="1"/>
  <c r="BW5" i="11"/>
  <c r="AP6" i="11"/>
  <c r="BX5" i="11" l="1"/>
  <c r="BW6" i="11"/>
  <c r="AQ6" i="11"/>
  <c r="BX6" i="11" l="1"/>
  <c r="BY5" i="11"/>
  <c r="AR6" i="11"/>
  <c r="BZ5" i="11" l="1"/>
  <c r="BY6" i="11"/>
  <c r="BZ6" i="11" l="1"/>
  <c r="CA5" i="11"/>
  <c r="CA4" i="11" l="1"/>
  <c r="CA6" i="11"/>
  <c r="CB5" i="11"/>
  <c r="CC5" i="11" l="1"/>
  <c r="CB6" i="11"/>
  <c r="CC6" i="11" l="1"/>
  <c r="CD5" i="11"/>
  <c r="CD6" i="11" l="1"/>
  <c r="CE5" i="11"/>
  <c r="CE6" i="11" l="1"/>
  <c r="CF5" i="11"/>
  <c r="CF6" i="11" l="1"/>
  <c r="CG5" i="11"/>
  <c r="CG6" i="11" l="1"/>
  <c r="CH5" i="11"/>
  <c r="CI5" i="11" l="1"/>
  <c r="CH4" i="11"/>
  <c r="CH6" i="11"/>
  <c r="CJ5" i="11" l="1"/>
  <c r="CI6" i="11"/>
  <c r="CJ6" i="11" l="1"/>
  <c r="CK5" i="11"/>
  <c r="CK6" i="11" l="1"/>
  <c r="CL5" i="11"/>
  <c r="CL6" i="11" l="1"/>
  <c r="CM5" i="11"/>
  <c r="CM6" i="11" l="1"/>
  <c r="CN5" i="11"/>
  <c r="CO5" i="11" l="1"/>
  <c r="CN6" i="11"/>
  <c r="CO4" i="11" l="1"/>
  <c r="CP5" i="11"/>
  <c r="CO6" i="11"/>
  <c r="CQ5" i="11" l="1"/>
  <c r="CP6" i="11"/>
  <c r="CR5" i="11" l="1"/>
  <c r="CQ6" i="11"/>
  <c r="CR6" i="11" l="1"/>
  <c r="CS5" i="11"/>
  <c r="CS6" i="11" l="1"/>
  <c r="CT5" i="11"/>
  <c r="CT6" i="11" l="1"/>
  <c r="CU5" i="11"/>
  <c r="CU6" i="11" l="1"/>
  <c r="CV5" i="11"/>
  <c r="CW5" i="11" l="1"/>
  <c r="CV4" i="11"/>
  <c r="CV6" i="11"/>
  <c r="CX5" i="11" l="1"/>
  <c r="CW6" i="11"/>
  <c r="CY5" i="11" l="1"/>
  <c r="CX6" i="11"/>
  <c r="CZ5" i="11" l="1"/>
  <c r="CY6" i="11"/>
  <c r="CZ6" i="11" l="1"/>
  <c r="DA5" i="11"/>
  <c r="DA6" i="11" l="1"/>
  <c r="DB5" i="11"/>
  <c r="DB6" i="11" l="1"/>
  <c r="DC5" i="11"/>
  <c r="DD5" i="11" l="1"/>
  <c r="DC4" i="11"/>
  <c r="DC6" i="11"/>
  <c r="DD6" i="11" l="1"/>
  <c r="DE5" i="11"/>
  <c r="DE6" i="11" l="1"/>
  <c r="DF5" i="11"/>
  <c r="DF6" i="11" l="1"/>
  <c r="DG5" i="11"/>
  <c r="DG6" i="11" l="1"/>
  <c r="DH5" i="11"/>
  <c r="DH6" i="11" l="1"/>
  <c r="DI5" i="11"/>
  <c r="DI6" i="11" l="1"/>
</calcChain>
</file>

<file path=xl/sharedStrings.xml><?xml version="1.0" encoding="utf-8"?>
<sst xmlns="http://schemas.openxmlformats.org/spreadsheetml/2006/main" count="67" uniqueCount="48">
  <si>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</si>
  <si>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</si>
  <si>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</si>
  <si>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</si>
  <si>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</si>
  <si>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</si>
  <si>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</si>
  <si>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</si>
  <si>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</si>
  <si>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</si>
  <si>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</si>
  <si>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</si>
  <si>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</si>
  <si>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</si>
  <si>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</si>
  <si>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</si>
  <si>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</si>
  <si>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</si>
  <si>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</si>
  <si>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</si>
  <si>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</si>
  <si>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</si>
  <si>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</si>
  <si>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</si>
  <si>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Evaluation</t>
  </si>
  <si>
    <t>William Lam</t>
  </si>
  <si>
    <t>Portfolio Work</t>
  </si>
  <si>
    <t>Identify Client</t>
  </si>
  <si>
    <t>W Lam</t>
  </si>
  <si>
    <t>Feedback from Client</t>
  </si>
  <si>
    <t>Submission</t>
  </si>
  <si>
    <t>Finish Stage</t>
  </si>
  <si>
    <t>Finish Prototype</t>
  </si>
  <si>
    <t>Interview Client</t>
  </si>
  <si>
    <t>Problem Definition and System Proposal</t>
  </si>
  <si>
    <t>System Design and Modelling</t>
  </si>
  <si>
    <t>Process Diagrams</t>
  </si>
  <si>
    <t>ERD</t>
  </si>
  <si>
    <t>Data Dictionary</t>
  </si>
  <si>
    <t>Prototype Development</t>
  </si>
  <si>
    <t>Testing, Evaluating and Impact</t>
  </si>
  <si>
    <t>Testing</t>
  </si>
  <si>
    <t>Social, Ethical and Legal Impacts</t>
  </si>
  <si>
    <t>Future Improvements</t>
  </si>
  <si>
    <t>Video</t>
  </si>
  <si>
    <t>Design Layout</t>
  </si>
  <si>
    <t>Add Functionality</t>
  </si>
  <si>
    <t>Enterprise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</si>
</sst>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m/d/yy;@"/>
    <numFmt numFmtId="166" formatCode="ddd\,\ m/d/yyyy"/>
    <numFmt numFmtId="167" formatCode="mmm\ d\,\ yyyy"/>
    <numFmt numFmtId="168" formatCode="d"/>
    <numFmt numFmtId="169" formatCode="[$-F800]dddd\,\ mmmm\ dd\,\ yyyy"/>
    <numFmt numFmtId="170" formatCode="d/mm/yy;@"/>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i/>
      <u/>
      <sz val="10"/>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70" fontId="19" fillId="3" borderId="6" xfId="10" applyNumberFormat="1" applyFont="1" applyFill="1" applyBorder="1">
      <alignment horizontal="center" vertical="center"/>
    </xf>
    <xf numFmtId="170" fontId="19" fillId="3" borderId="7" xfId="10" applyNumberFormat="1" applyFont="1" applyFill="1" applyBorder="1">
      <alignment horizontal="center" vertical="center"/>
    </xf>
    <xf numFmtId="170" fontId="19" fillId="7" borderId="0" xfId="0" applyNumberFormat="1" applyFont="1" applyFill="1" applyAlignment="1">
      <alignment horizontal="center" vertical="center"/>
    </xf>
    <xf numFmtId="170" fontId="1" fillId="7" borderId="0" xfId="0" applyNumberFormat="1" applyFont="1" applyFill="1" applyAlignment="1">
      <alignment horizontal="center" vertical="center"/>
    </xf>
    <xf numFmtId="170" fontId="19" fillId="4" borderId="5" xfId="10" applyNumberFormat="1" applyFont="1" applyFill="1" applyBorder="1">
      <alignment horizontal="center" vertical="center"/>
    </xf>
    <xf numFmtId="170" fontId="19" fillId="8" borderId="0" xfId="0" applyNumberFormat="1" applyFont="1" applyFill="1" applyAlignment="1">
      <alignment horizontal="center" vertical="center"/>
    </xf>
    <xf numFmtId="170" fontId="1" fillId="8" borderId="0" xfId="0" applyNumberFormat="1" applyFont="1" applyFill="1" applyAlignment="1">
      <alignment horizontal="center" vertical="center"/>
    </xf>
    <xf numFmtId="170" fontId="19" fillId="5" borderId="8" xfId="10" applyNumberFormat="1" applyFont="1" applyFill="1" applyBorder="1">
      <alignment horizontal="center" vertical="center"/>
    </xf>
    <xf numFmtId="170" fontId="19" fillId="9" borderId="0" xfId="0" applyNumberFormat="1" applyFont="1" applyFill="1" applyAlignment="1">
      <alignment horizontal="center" vertical="center"/>
    </xf>
    <xf numFmtId="170" fontId="1" fillId="9" borderId="0" xfId="0" applyNumberFormat="1" applyFont="1" applyFill="1" applyAlignment="1">
      <alignment horizontal="center" vertical="center"/>
    </xf>
    <xf numFmtId="170" fontId="19" fillId="10" borderId="9" xfId="10" applyNumberFormat="1" applyFont="1" applyFill="1" applyBorder="1">
      <alignment horizontal="center" vertical="center"/>
    </xf>
    <xf numFmtId="0" fontId="32" fillId="3" borderId="7" xfId="12" applyFont="1" applyFill="1" applyBorder="1">
      <alignment horizontal="left" vertical="center" indent="2"/>
    </xf>
    <xf numFmtId="0" fontId="32" fillId="4" borderId="5" xfId="12" applyFont="1" applyFill="1" applyBorder="1">
      <alignment horizontal="left" vertical="center" indent="2"/>
    </xf>
    <xf numFmtId="0" fontId="32" fillId="5" borderId="8" xfId="12" applyFont="1" applyFill="1" applyBorder="1">
      <alignment horizontal="left" vertical="center" indent="2"/>
    </xf>
    <xf numFmtId="0" fontId="32" fillId="10" borderId="9" xfId="12" applyFont="1" applyFill="1" applyBorder="1">
      <alignment horizontal="left" vertical="center" indent="2"/>
    </xf>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0" fontId="26" fillId="0" borderId="0" xfId="8" applyFont="1" applyAlignment="1">
      <alignment horizontal="left"/>
    </xf>
    <xf numFmtId="0" fontId="4" fillId="0" borderId="0" xfId="0" applyFont="1"/>
    <xf numFmtId="169" fontId="27" fillId="0" borderId="0" xfId="9" applyNumberFormat="1" applyFont="1" applyBorder="1" applyAlignment="1">
      <alignment horizontal="left"/>
    </xf>
    <xf numFmtId="167" fontId="19" fillId="2" borderId="18" xfId="0" applyNumberFormat="1" applyFont="1" applyFill="1" applyBorder="1" applyAlignment="1">
      <alignment horizontal="center" vertical="center"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4">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I34"/>
  <sheetViews>
    <sheetView tabSelected="1" showRuler="0" topLeftCell="B1" zoomScale="97" zoomScaleNormal="56" zoomScalePageLayoutView="70" workbookViewId="0">
      <selection activeCell="S9" sqref="S9"/>
    </sheetView>
  </sheetViews>
  <sheetFormatPr defaultColWidth="8.75" defaultRowHeight="30" customHeight="1" x14ac:dyDescent="0.2"/>
  <cols>
    <col min="1" max="1" width="2.75" style="13" customWidth="1"/>
    <col min="2" max="2" width="29.625" customWidth="1"/>
    <col min="3" max="3" width="16.75" customWidth="1"/>
    <col min="4" max="4" width="10.75" customWidth="1"/>
    <col min="5" max="5" width="10.75" style="2" customWidth="1"/>
    <col min="6" max="6" width="10.75" customWidth="1"/>
    <col min="7" max="7" width="2.75" customWidth="1"/>
    <col min="8" max="8" width="6" hidden="1" customWidth="1"/>
    <col min="9" max="113" width="2.75" customWidth="1"/>
  </cols>
  <sheetData>
    <row r="1" spans="1:113" ht="90" customHeight="1" x14ac:dyDescent="1.1000000000000001">
      <c r="A1" s="14"/>
      <c r="B1" s="86" t="s">
        <v>47</v>
      </c>
      <c r="C1" s="18"/>
      <c r="D1" s="19"/>
      <c r="E1" s="20"/>
      <c r="F1" s="21"/>
      <c r="H1" s="1"/>
      <c r="I1" s="115" t="s">
        <v>21</v>
      </c>
      <c r="J1" s="116"/>
      <c r="K1" s="116"/>
      <c r="L1" s="116"/>
      <c r="M1" s="116"/>
      <c r="N1" s="116"/>
      <c r="O1" s="116"/>
      <c r="P1" s="24"/>
      <c r="Q1" s="117">
        <v>46136</v>
      </c>
      <c r="R1" s="117"/>
      <c r="S1" s="117"/>
      <c r="T1" s="117"/>
      <c r="U1" s="117"/>
      <c r="V1" s="117"/>
      <c r="W1" s="117"/>
      <c r="X1" s="117"/>
      <c r="Y1" s="117"/>
      <c r="Z1" s="117"/>
      <c r="AA1" s="117"/>
      <c r="AB1" s="117"/>
      <c r="AC1" s="117"/>
      <c r="AD1" s="117"/>
      <c r="AE1" s="117"/>
    </row>
    <row r="2" spans="1:113" ht="30" customHeight="1" x14ac:dyDescent="0.5">
      <c r="B2" s="84" t="s">
        <v>25</v>
      </c>
      <c r="C2" s="85"/>
      <c r="D2" s="22"/>
      <c r="E2" s="23"/>
      <c r="F2" s="22"/>
      <c r="I2" s="115" t="s">
        <v>22</v>
      </c>
      <c r="J2" s="116"/>
      <c r="K2" s="116"/>
      <c r="L2" s="116"/>
      <c r="M2" s="116"/>
      <c r="N2" s="116"/>
      <c r="O2" s="116"/>
      <c r="P2" s="24"/>
      <c r="Q2" s="113">
        <v>1</v>
      </c>
      <c r="R2" s="114"/>
      <c r="S2" s="114"/>
      <c r="T2" s="114"/>
      <c r="U2" s="114"/>
      <c r="V2" s="114"/>
      <c r="W2" s="114"/>
      <c r="X2" s="114"/>
      <c r="Y2" s="114"/>
      <c r="Z2" s="114"/>
    </row>
    <row r="3" spans="1:113" s="26" customFormat="1" ht="30" customHeight="1" x14ac:dyDescent="0.25">
      <c r="A3" s="13"/>
      <c r="B3" s="25" t="s">
        <v>8</v>
      </c>
      <c r="D3" s="27"/>
      <c r="E3" s="28"/>
    </row>
    <row r="4" spans="1:113" s="26" customFormat="1" ht="14.25" x14ac:dyDescent="0.2">
      <c r="A4" s="14"/>
      <c r="B4" s="29" t="s">
        <v>13</v>
      </c>
      <c r="E4" s="30"/>
      <c r="I4" s="118">
        <f>I5</f>
        <v>46132</v>
      </c>
      <c r="J4" s="109"/>
      <c r="K4" s="109"/>
      <c r="L4" s="109"/>
      <c r="M4" s="109"/>
      <c r="N4" s="109"/>
      <c r="O4" s="109"/>
      <c r="P4" s="109">
        <f>P5</f>
        <v>46139</v>
      </c>
      <c r="Q4" s="109"/>
      <c r="R4" s="109"/>
      <c r="S4" s="109"/>
      <c r="T4" s="109"/>
      <c r="U4" s="109"/>
      <c r="V4" s="109"/>
      <c r="W4" s="109">
        <f>W5</f>
        <v>46146</v>
      </c>
      <c r="X4" s="109"/>
      <c r="Y4" s="109"/>
      <c r="Z4" s="109"/>
      <c r="AA4" s="109"/>
      <c r="AB4" s="109"/>
      <c r="AC4" s="109"/>
      <c r="AD4" s="109">
        <f>AD5</f>
        <v>46153</v>
      </c>
      <c r="AE4" s="109"/>
      <c r="AF4" s="109"/>
      <c r="AG4" s="109"/>
      <c r="AH4" s="109"/>
      <c r="AI4" s="109"/>
      <c r="AJ4" s="109"/>
      <c r="AK4" s="109">
        <f>AK5</f>
        <v>46160</v>
      </c>
      <c r="AL4" s="109"/>
      <c r="AM4" s="109"/>
      <c r="AN4" s="109"/>
      <c r="AO4" s="109"/>
      <c r="AP4" s="109"/>
      <c r="AQ4" s="109"/>
      <c r="AR4" s="109">
        <f>AR5</f>
        <v>46167</v>
      </c>
      <c r="AS4" s="109"/>
      <c r="AT4" s="109"/>
      <c r="AU4" s="109"/>
      <c r="AV4" s="109"/>
      <c r="AW4" s="109"/>
      <c r="AX4" s="109"/>
      <c r="AY4" s="109">
        <f>AY5</f>
        <v>46174</v>
      </c>
      <c r="AZ4" s="109"/>
      <c r="BA4" s="109"/>
      <c r="BB4" s="109"/>
      <c r="BC4" s="109"/>
      <c r="BD4" s="109"/>
      <c r="BE4" s="109"/>
      <c r="BF4" s="109">
        <f>BF5</f>
        <v>46181</v>
      </c>
      <c r="BG4" s="109"/>
      <c r="BH4" s="109"/>
      <c r="BI4" s="109"/>
      <c r="BJ4" s="109"/>
      <c r="BK4" s="109"/>
      <c r="BL4" s="110"/>
      <c r="BM4" s="109">
        <f>BM5</f>
        <v>46188</v>
      </c>
      <c r="BN4" s="109"/>
      <c r="BO4" s="109"/>
      <c r="BP4" s="109"/>
      <c r="BQ4" s="109"/>
      <c r="BR4" s="109"/>
      <c r="BS4" s="109"/>
      <c r="BT4" s="109">
        <f>BT5</f>
        <v>46195</v>
      </c>
      <c r="BU4" s="109"/>
      <c r="BV4" s="109"/>
      <c r="BW4" s="109"/>
      <c r="BX4" s="109"/>
      <c r="BY4" s="109"/>
      <c r="BZ4" s="110"/>
      <c r="CA4" s="109">
        <f>CA5</f>
        <v>46202</v>
      </c>
      <c r="CB4" s="109"/>
      <c r="CC4" s="109"/>
      <c r="CD4" s="109"/>
      <c r="CE4" s="109"/>
      <c r="CF4" s="109"/>
      <c r="CG4" s="109"/>
      <c r="CH4" s="109">
        <f>CH5</f>
        <v>46209</v>
      </c>
      <c r="CI4" s="109"/>
      <c r="CJ4" s="109"/>
      <c r="CK4" s="109"/>
      <c r="CL4" s="109"/>
      <c r="CM4" s="109"/>
      <c r="CN4" s="110"/>
      <c r="CO4" s="109">
        <f>CO5</f>
        <v>46216</v>
      </c>
      <c r="CP4" s="109"/>
      <c r="CQ4" s="109"/>
      <c r="CR4" s="109"/>
      <c r="CS4" s="109"/>
      <c r="CT4" s="109"/>
      <c r="CU4" s="109"/>
      <c r="CV4" s="109">
        <f>CV5</f>
        <v>46223</v>
      </c>
      <c r="CW4" s="109"/>
      <c r="CX4" s="109"/>
      <c r="CY4" s="109"/>
      <c r="CZ4" s="109"/>
      <c r="DA4" s="109"/>
      <c r="DB4" s="110"/>
      <c r="DC4" s="109">
        <f>DC5</f>
        <v>46230</v>
      </c>
      <c r="DD4" s="109"/>
      <c r="DE4" s="109"/>
      <c r="DF4" s="109"/>
      <c r="DG4" s="109"/>
      <c r="DH4" s="109"/>
      <c r="DI4" s="109"/>
    </row>
    <row r="5" spans="1:113" s="26" customFormat="1" ht="15" customHeight="1" x14ac:dyDescent="0.2">
      <c r="A5" s="119"/>
      <c r="B5" s="120" t="s">
        <v>5</v>
      </c>
      <c r="C5" s="122" t="s">
        <v>23</v>
      </c>
      <c r="D5" s="111" t="s">
        <v>1</v>
      </c>
      <c r="E5" s="111" t="s">
        <v>3</v>
      </c>
      <c r="F5" s="111" t="s">
        <v>4</v>
      </c>
      <c r="I5" s="31">
        <f>Project_Start-WEEKDAY(Project_Start,1)+2+7*(Display_Week-1)</f>
        <v>46132</v>
      </c>
      <c r="J5" s="31">
        <f>I5+1</f>
        <v>46133</v>
      </c>
      <c r="K5" s="31">
        <f t="shared" ref="K5:AX5" si="0">J5+1</f>
        <v>46134</v>
      </c>
      <c r="L5" s="31">
        <f t="shared" si="0"/>
        <v>46135</v>
      </c>
      <c r="M5" s="31">
        <f t="shared" si="0"/>
        <v>46136</v>
      </c>
      <c r="N5" s="31">
        <f t="shared" si="0"/>
        <v>46137</v>
      </c>
      <c r="O5" s="32">
        <f t="shared" si="0"/>
        <v>46138</v>
      </c>
      <c r="P5" s="33">
        <f>O5+1</f>
        <v>46139</v>
      </c>
      <c r="Q5" s="31">
        <f>P5+1</f>
        <v>46140</v>
      </c>
      <c r="R5" s="31">
        <f t="shared" si="0"/>
        <v>46141</v>
      </c>
      <c r="S5" s="31">
        <f t="shared" si="0"/>
        <v>46142</v>
      </c>
      <c r="T5" s="31">
        <f t="shared" si="0"/>
        <v>46143</v>
      </c>
      <c r="U5" s="31">
        <f t="shared" si="0"/>
        <v>46144</v>
      </c>
      <c r="V5" s="32">
        <f t="shared" si="0"/>
        <v>46145</v>
      </c>
      <c r="W5" s="33">
        <f>V5+1</f>
        <v>46146</v>
      </c>
      <c r="X5" s="31">
        <f>W5+1</f>
        <v>46147</v>
      </c>
      <c r="Y5" s="31">
        <f t="shared" si="0"/>
        <v>46148</v>
      </c>
      <c r="Z5" s="31">
        <f t="shared" si="0"/>
        <v>46149</v>
      </c>
      <c r="AA5" s="31">
        <f t="shared" si="0"/>
        <v>46150</v>
      </c>
      <c r="AB5" s="31">
        <f t="shared" si="0"/>
        <v>46151</v>
      </c>
      <c r="AC5" s="32">
        <f t="shared" si="0"/>
        <v>46152</v>
      </c>
      <c r="AD5" s="33">
        <f>AC5+1</f>
        <v>46153</v>
      </c>
      <c r="AE5" s="31">
        <f>AD5+1</f>
        <v>46154</v>
      </c>
      <c r="AF5" s="31">
        <f t="shared" si="0"/>
        <v>46155</v>
      </c>
      <c r="AG5" s="31">
        <f t="shared" si="0"/>
        <v>46156</v>
      </c>
      <c r="AH5" s="31">
        <f t="shared" si="0"/>
        <v>46157</v>
      </c>
      <c r="AI5" s="31">
        <f t="shared" si="0"/>
        <v>46158</v>
      </c>
      <c r="AJ5" s="32">
        <f t="shared" si="0"/>
        <v>46159</v>
      </c>
      <c r="AK5" s="33">
        <f>AJ5+1</f>
        <v>46160</v>
      </c>
      <c r="AL5" s="31">
        <f>AK5+1</f>
        <v>46161</v>
      </c>
      <c r="AM5" s="31">
        <f t="shared" si="0"/>
        <v>46162</v>
      </c>
      <c r="AN5" s="31">
        <f t="shared" si="0"/>
        <v>46163</v>
      </c>
      <c r="AO5" s="31">
        <f t="shared" si="0"/>
        <v>46164</v>
      </c>
      <c r="AP5" s="31">
        <f t="shared" si="0"/>
        <v>46165</v>
      </c>
      <c r="AQ5" s="32">
        <f t="shared" si="0"/>
        <v>46166</v>
      </c>
      <c r="AR5" s="33">
        <f>AQ5+1</f>
        <v>46167</v>
      </c>
      <c r="AS5" s="31">
        <f>AR5+1</f>
        <v>46168</v>
      </c>
      <c r="AT5" s="31">
        <f t="shared" si="0"/>
        <v>46169</v>
      </c>
      <c r="AU5" s="31">
        <f t="shared" si="0"/>
        <v>46170</v>
      </c>
      <c r="AV5" s="31">
        <f t="shared" si="0"/>
        <v>46171</v>
      </c>
      <c r="AW5" s="31">
        <f t="shared" si="0"/>
        <v>46172</v>
      </c>
      <c r="AX5" s="32">
        <f t="shared" si="0"/>
        <v>46173</v>
      </c>
      <c r="AY5" s="33">
        <f>AX5+1</f>
        <v>46174</v>
      </c>
      <c r="AZ5" s="31">
        <f>AY5+1</f>
        <v>46175</v>
      </c>
      <c r="BA5" s="31">
        <f t="shared" ref="BA5:BE5" si="1">AZ5+1</f>
        <v>46176</v>
      </c>
      <c r="BB5" s="31">
        <f t="shared" si="1"/>
        <v>46177</v>
      </c>
      <c r="BC5" s="31">
        <f t="shared" si="1"/>
        <v>46178</v>
      </c>
      <c r="BD5" s="31">
        <f t="shared" si="1"/>
        <v>46179</v>
      </c>
      <c r="BE5" s="32">
        <f t="shared" si="1"/>
        <v>46180</v>
      </c>
      <c r="BF5" s="33">
        <f>BE5+1</f>
        <v>46181</v>
      </c>
      <c r="BG5" s="31">
        <f>BF5+1</f>
        <v>46182</v>
      </c>
      <c r="BH5" s="31">
        <f t="shared" ref="BH5:BL5" si="2">BG5+1</f>
        <v>46183</v>
      </c>
      <c r="BI5" s="31">
        <f t="shared" si="2"/>
        <v>46184</v>
      </c>
      <c r="BJ5" s="31">
        <f t="shared" si="2"/>
        <v>46185</v>
      </c>
      <c r="BK5" s="31">
        <f t="shared" si="2"/>
        <v>46186</v>
      </c>
      <c r="BL5" s="31">
        <f t="shared" si="2"/>
        <v>46187</v>
      </c>
      <c r="BM5" s="33">
        <f>BL5+1</f>
        <v>46188</v>
      </c>
      <c r="BN5" s="31">
        <f>BM5+1</f>
        <v>46189</v>
      </c>
      <c r="BO5" s="31">
        <f t="shared" ref="BO5" si="3">BN5+1</f>
        <v>46190</v>
      </c>
      <c r="BP5" s="31">
        <f t="shared" ref="BP5" si="4">BO5+1</f>
        <v>46191</v>
      </c>
      <c r="BQ5" s="31">
        <f t="shared" ref="BQ5" si="5">BP5+1</f>
        <v>46192</v>
      </c>
      <c r="BR5" s="31">
        <f t="shared" ref="BR5" si="6">BQ5+1</f>
        <v>46193</v>
      </c>
      <c r="BS5" s="32">
        <f t="shared" ref="BS5" si="7">BR5+1</f>
        <v>46194</v>
      </c>
      <c r="BT5" s="33">
        <f>BS5+1</f>
        <v>46195</v>
      </c>
      <c r="BU5" s="31">
        <f>BT5+1</f>
        <v>46196</v>
      </c>
      <c r="BV5" s="31">
        <f t="shared" ref="BV5" si="8">BU5+1</f>
        <v>46197</v>
      </c>
      <c r="BW5" s="31">
        <f t="shared" ref="BW5" si="9">BV5+1</f>
        <v>46198</v>
      </c>
      <c r="BX5" s="31">
        <f t="shared" ref="BX5" si="10">BW5+1</f>
        <v>46199</v>
      </c>
      <c r="BY5" s="31">
        <f t="shared" ref="BY5" si="11">BX5+1</f>
        <v>46200</v>
      </c>
      <c r="BZ5" s="31">
        <f t="shared" ref="BZ5" si="12">BY5+1</f>
        <v>46201</v>
      </c>
      <c r="CA5" s="33">
        <f>BZ5+1</f>
        <v>46202</v>
      </c>
      <c r="CB5" s="31">
        <f>CA5+1</f>
        <v>46203</v>
      </c>
      <c r="CC5" s="31">
        <f t="shared" ref="CC5" si="13">CB5+1</f>
        <v>46204</v>
      </c>
      <c r="CD5" s="31">
        <f t="shared" ref="CD5" si="14">CC5+1</f>
        <v>46205</v>
      </c>
      <c r="CE5" s="31">
        <f t="shared" ref="CE5" si="15">CD5+1</f>
        <v>46206</v>
      </c>
      <c r="CF5" s="31">
        <f t="shared" ref="CF5" si="16">CE5+1</f>
        <v>46207</v>
      </c>
      <c r="CG5" s="32">
        <f t="shared" ref="CG5" si="17">CF5+1</f>
        <v>46208</v>
      </c>
      <c r="CH5" s="33">
        <f>CG5+1</f>
        <v>46209</v>
      </c>
      <c r="CI5" s="31">
        <f>CH5+1</f>
        <v>46210</v>
      </c>
      <c r="CJ5" s="31">
        <f t="shared" ref="CJ5" si="18">CI5+1</f>
        <v>46211</v>
      </c>
      <c r="CK5" s="31">
        <f t="shared" ref="CK5" si="19">CJ5+1</f>
        <v>46212</v>
      </c>
      <c r="CL5" s="31">
        <f t="shared" ref="CL5" si="20">CK5+1</f>
        <v>46213</v>
      </c>
      <c r="CM5" s="31">
        <f t="shared" ref="CM5" si="21">CL5+1</f>
        <v>46214</v>
      </c>
      <c r="CN5" s="31">
        <f t="shared" ref="CN5" si="22">CM5+1</f>
        <v>46215</v>
      </c>
      <c r="CO5" s="33">
        <f>CN5+1</f>
        <v>46216</v>
      </c>
      <c r="CP5" s="31">
        <f>CO5+1</f>
        <v>46217</v>
      </c>
      <c r="CQ5" s="31">
        <f t="shared" ref="CQ5" si="23">CP5+1</f>
        <v>46218</v>
      </c>
      <c r="CR5" s="31">
        <f t="shared" ref="CR5" si="24">CQ5+1</f>
        <v>46219</v>
      </c>
      <c r="CS5" s="31">
        <f t="shared" ref="CS5" si="25">CR5+1</f>
        <v>46220</v>
      </c>
      <c r="CT5" s="31">
        <f t="shared" ref="CT5" si="26">CS5+1</f>
        <v>46221</v>
      </c>
      <c r="CU5" s="32">
        <f t="shared" ref="CU5" si="27">CT5+1</f>
        <v>46222</v>
      </c>
      <c r="CV5" s="33">
        <f>CU5+1</f>
        <v>46223</v>
      </c>
      <c r="CW5" s="31">
        <f>CV5+1</f>
        <v>46224</v>
      </c>
      <c r="CX5" s="31">
        <f t="shared" ref="CX5" si="28">CW5+1</f>
        <v>46225</v>
      </c>
      <c r="CY5" s="31">
        <f t="shared" ref="CY5" si="29">CX5+1</f>
        <v>46226</v>
      </c>
      <c r="CZ5" s="31">
        <f t="shared" ref="CZ5" si="30">CY5+1</f>
        <v>46227</v>
      </c>
      <c r="DA5" s="31">
        <f t="shared" ref="DA5" si="31">CZ5+1</f>
        <v>46228</v>
      </c>
      <c r="DB5" s="31">
        <f t="shared" ref="DB5" si="32">DA5+1</f>
        <v>46229</v>
      </c>
      <c r="DC5" s="33">
        <f>DB5+1</f>
        <v>46230</v>
      </c>
      <c r="DD5" s="31">
        <f>DC5+1</f>
        <v>46231</v>
      </c>
      <c r="DE5" s="31">
        <f t="shared" ref="DE5" si="33">DD5+1</f>
        <v>46232</v>
      </c>
      <c r="DF5" s="31">
        <f t="shared" ref="DF5" si="34">DE5+1</f>
        <v>46233</v>
      </c>
      <c r="DG5" s="31">
        <f t="shared" ref="DG5" si="35">DF5+1</f>
        <v>46234</v>
      </c>
      <c r="DH5" s="31">
        <f t="shared" ref="DH5" si="36">DG5+1</f>
        <v>46235</v>
      </c>
      <c r="DI5" s="32">
        <f t="shared" ref="DI5" si="37">DH5+1</f>
        <v>46236</v>
      </c>
    </row>
    <row r="6" spans="1:113" s="26" customFormat="1" ht="15" customHeight="1" thickBot="1" x14ac:dyDescent="0.25">
      <c r="A6" s="119"/>
      <c r="B6" s="121"/>
      <c r="C6" s="112"/>
      <c r="D6" s="112"/>
      <c r="E6" s="112"/>
      <c r="F6" s="112"/>
      <c r="I6" s="34" t="str">
        <f t="shared" ref="I6:AN6" si="38">LEFT(TEXT(I5,"ddd"),1)</f>
        <v>M</v>
      </c>
      <c r="J6" s="35" t="str">
        <f t="shared" si="38"/>
        <v>T</v>
      </c>
      <c r="K6" s="35" t="str">
        <f t="shared" si="38"/>
        <v>W</v>
      </c>
      <c r="L6" s="35" t="str">
        <f t="shared" si="38"/>
        <v>T</v>
      </c>
      <c r="M6" s="35" t="str">
        <f t="shared" si="38"/>
        <v>F</v>
      </c>
      <c r="N6" s="35" t="str">
        <f t="shared" si="38"/>
        <v>S</v>
      </c>
      <c r="O6" s="35" t="str">
        <f t="shared" si="38"/>
        <v>S</v>
      </c>
      <c r="P6" s="35" t="str">
        <f t="shared" si="38"/>
        <v>M</v>
      </c>
      <c r="Q6" s="35" t="str">
        <f t="shared" si="38"/>
        <v>T</v>
      </c>
      <c r="R6" s="35" t="str">
        <f t="shared" si="38"/>
        <v>W</v>
      </c>
      <c r="S6" s="35" t="str">
        <f t="shared" si="38"/>
        <v>T</v>
      </c>
      <c r="T6" s="35" t="str">
        <f t="shared" si="38"/>
        <v>F</v>
      </c>
      <c r="U6" s="35" t="str">
        <f t="shared" si="38"/>
        <v>S</v>
      </c>
      <c r="V6" s="35" t="str">
        <f t="shared" si="38"/>
        <v>S</v>
      </c>
      <c r="W6" s="35" t="str">
        <f t="shared" si="38"/>
        <v>M</v>
      </c>
      <c r="X6" s="35" t="str">
        <f t="shared" si="38"/>
        <v>T</v>
      </c>
      <c r="Y6" s="35" t="str">
        <f t="shared" si="38"/>
        <v>W</v>
      </c>
      <c r="Z6" s="35" t="str">
        <f t="shared" si="38"/>
        <v>T</v>
      </c>
      <c r="AA6" s="35" t="str">
        <f t="shared" si="38"/>
        <v>F</v>
      </c>
      <c r="AB6" s="35" t="str">
        <f t="shared" si="38"/>
        <v>S</v>
      </c>
      <c r="AC6" s="35" t="str">
        <f t="shared" si="38"/>
        <v>S</v>
      </c>
      <c r="AD6" s="35" t="str">
        <f t="shared" si="38"/>
        <v>M</v>
      </c>
      <c r="AE6" s="35" t="str">
        <f t="shared" si="38"/>
        <v>T</v>
      </c>
      <c r="AF6" s="35" t="str">
        <f t="shared" si="38"/>
        <v>W</v>
      </c>
      <c r="AG6" s="35" t="str">
        <f t="shared" si="38"/>
        <v>T</v>
      </c>
      <c r="AH6" s="35" t="str">
        <f t="shared" si="38"/>
        <v>F</v>
      </c>
      <c r="AI6" s="35" t="str">
        <f t="shared" si="38"/>
        <v>S</v>
      </c>
      <c r="AJ6" s="35" t="str">
        <f t="shared" si="38"/>
        <v>S</v>
      </c>
      <c r="AK6" s="35" t="str">
        <f t="shared" si="38"/>
        <v>M</v>
      </c>
      <c r="AL6" s="35" t="str">
        <f t="shared" si="38"/>
        <v>T</v>
      </c>
      <c r="AM6" s="35" t="str">
        <f t="shared" si="38"/>
        <v>W</v>
      </c>
      <c r="AN6" s="35" t="str">
        <f t="shared" si="38"/>
        <v>T</v>
      </c>
      <c r="AO6" s="35" t="str">
        <f t="shared" ref="AO6:BL6" si="39">LEFT(TEXT(AO5,"ddd"),1)</f>
        <v>F</v>
      </c>
      <c r="AP6" s="35" t="str">
        <f t="shared" si="39"/>
        <v>S</v>
      </c>
      <c r="AQ6" s="35" t="str">
        <f t="shared" si="39"/>
        <v>S</v>
      </c>
      <c r="AR6" s="35" t="str">
        <f t="shared" si="39"/>
        <v>M</v>
      </c>
      <c r="AS6" s="35" t="str">
        <f t="shared" si="39"/>
        <v>T</v>
      </c>
      <c r="AT6" s="35" t="str">
        <f t="shared" si="39"/>
        <v>W</v>
      </c>
      <c r="AU6" s="35" t="str">
        <f t="shared" si="39"/>
        <v>T</v>
      </c>
      <c r="AV6" s="35" t="str">
        <f t="shared" si="39"/>
        <v>F</v>
      </c>
      <c r="AW6" s="35" t="str">
        <f t="shared" si="39"/>
        <v>S</v>
      </c>
      <c r="AX6" s="35" t="str">
        <f t="shared" si="39"/>
        <v>S</v>
      </c>
      <c r="AY6" s="35" t="str">
        <f t="shared" si="39"/>
        <v>M</v>
      </c>
      <c r="AZ6" s="35" t="str">
        <f t="shared" si="39"/>
        <v>T</v>
      </c>
      <c r="BA6" s="35" t="str">
        <f t="shared" si="39"/>
        <v>W</v>
      </c>
      <c r="BB6" s="35" t="str">
        <f t="shared" si="39"/>
        <v>T</v>
      </c>
      <c r="BC6" s="35" t="str">
        <f t="shared" si="39"/>
        <v>F</v>
      </c>
      <c r="BD6" s="35" t="str">
        <f t="shared" si="39"/>
        <v>S</v>
      </c>
      <c r="BE6" s="35" t="str">
        <f t="shared" si="39"/>
        <v>S</v>
      </c>
      <c r="BF6" s="35" t="str">
        <f t="shared" si="39"/>
        <v>M</v>
      </c>
      <c r="BG6" s="35" t="str">
        <f t="shared" si="39"/>
        <v>T</v>
      </c>
      <c r="BH6" s="35" t="str">
        <f t="shared" si="39"/>
        <v>W</v>
      </c>
      <c r="BI6" s="35" t="str">
        <f t="shared" si="39"/>
        <v>T</v>
      </c>
      <c r="BJ6" s="35" t="str">
        <f t="shared" si="39"/>
        <v>F</v>
      </c>
      <c r="BK6" s="35" t="str">
        <f t="shared" si="39"/>
        <v>S</v>
      </c>
      <c r="BL6" s="36" t="str">
        <f t="shared" si="39"/>
        <v>S</v>
      </c>
      <c r="BM6" s="35" t="str">
        <f t="shared" ref="BM6:CN6" si="40">LEFT(TEXT(BM5,"ddd"),1)</f>
        <v>M</v>
      </c>
      <c r="BN6" s="35" t="str">
        <f t="shared" si="40"/>
        <v>T</v>
      </c>
      <c r="BO6" s="35" t="str">
        <f t="shared" si="40"/>
        <v>W</v>
      </c>
      <c r="BP6" s="35" t="str">
        <f t="shared" si="40"/>
        <v>T</v>
      </c>
      <c r="BQ6" s="35" t="str">
        <f t="shared" si="40"/>
        <v>F</v>
      </c>
      <c r="BR6" s="35" t="str">
        <f t="shared" si="40"/>
        <v>S</v>
      </c>
      <c r="BS6" s="35" t="str">
        <f t="shared" si="40"/>
        <v>S</v>
      </c>
      <c r="BT6" s="35" t="str">
        <f t="shared" si="40"/>
        <v>M</v>
      </c>
      <c r="BU6" s="35" t="str">
        <f t="shared" si="40"/>
        <v>T</v>
      </c>
      <c r="BV6" s="35" t="str">
        <f t="shared" si="40"/>
        <v>W</v>
      </c>
      <c r="BW6" s="35" t="str">
        <f t="shared" si="40"/>
        <v>T</v>
      </c>
      <c r="BX6" s="35" t="str">
        <f t="shared" si="40"/>
        <v>F</v>
      </c>
      <c r="BY6" s="35" t="str">
        <f t="shared" si="40"/>
        <v>S</v>
      </c>
      <c r="BZ6" s="36" t="str">
        <f t="shared" si="40"/>
        <v>S</v>
      </c>
      <c r="CA6" s="35" t="str">
        <f t="shared" si="40"/>
        <v>M</v>
      </c>
      <c r="CB6" s="35" t="str">
        <f t="shared" si="40"/>
        <v>T</v>
      </c>
      <c r="CC6" s="35" t="str">
        <f t="shared" si="40"/>
        <v>W</v>
      </c>
      <c r="CD6" s="35" t="str">
        <f t="shared" si="40"/>
        <v>T</v>
      </c>
      <c r="CE6" s="35" t="str">
        <f t="shared" si="40"/>
        <v>F</v>
      </c>
      <c r="CF6" s="35" t="str">
        <f t="shared" si="40"/>
        <v>S</v>
      </c>
      <c r="CG6" s="35" t="str">
        <f t="shared" si="40"/>
        <v>S</v>
      </c>
      <c r="CH6" s="35" t="str">
        <f t="shared" si="40"/>
        <v>M</v>
      </c>
      <c r="CI6" s="35" t="str">
        <f t="shared" si="40"/>
        <v>T</v>
      </c>
      <c r="CJ6" s="35" t="str">
        <f t="shared" si="40"/>
        <v>W</v>
      </c>
      <c r="CK6" s="35" t="str">
        <f t="shared" si="40"/>
        <v>T</v>
      </c>
      <c r="CL6" s="35" t="str">
        <f t="shared" si="40"/>
        <v>F</v>
      </c>
      <c r="CM6" s="35" t="str">
        <f t="shared" si="40"/>
        <v>S</v>
      </c>
      <c r="CN6" s="36" t="str">
        <f t="shared" si="40"/>
        <v>S</v>
      </c>
      <c r="CO6" s="35" t="str">
        <f t="shared" ref="CO6:DI6" si="41">LEFT(TEXT(CO5,"ddd"),1)</f>
        <v>M</v>
      </c>
      <c r="CP6" s="35" t="str">
        <f t="shared" si="41"/>
        <v>T</v>
      </c>
      <c r="CQ6" s="35" t="str">
        <f t="shared" si="41"/>
        <v>W</v>
      </c>
      <c r="CR6" s="35" t="str">
        <f t="shared" si="41"/>
        <v>T</v>
      </c>
      <c r="CS6" s="35" t="str">
        <f t="shared" si="41"/>
        <v>F</v>
      </c>
      <c r="CT6" s="35" t="str">
        <f t="shared" si="41"/>
        <v>S</v>
      </c>
      <c r="CU6" s="35" t="str">
        <f t="shared" si="41"/>
        <v>S</v>
      </c>
      <c r="CV6" s="35" t="str">
        <f t="shared" si="41"/>
        <v>M</v>
      </c>
      <c r="CW6" s="35" t="str">
        <f t="shared" si="41"/>
        <v>T</v>
      </c>
      <c r="CX6" s="35" t="str">
        <f t="shared" si="41"/>
        <v>W</v>
      </c>
      <c r="CY6" s="35" t="str">
        <f t="shared" si="41"/>
        <v>T</v>
      </c>
      <c r="CZ6" s="35" t="str">
        <f t="shared" si="41"/>
        <v>F</v>
      </c>
      <c r="DA6" s="35" t="str">
        <f t="shared" si="41"/>
        <v>S</v>
      </c>
      <c r="DB6" s="36" t="str">
        <f t="shared" si="41"/>
        <v>S</v>
      </c>
      <c r="DC6" s="35" t="str">
        <f t="shared" si="41"/>
        <v>M</v>
      </c>
      <c r="DD6" s="35" t="str">
        <f t="shared" si="41"/>
        <v>T</v>
      </c>
      <c r="DE6" s="35" t="str">
        <f t="shared" si="41"/>
        <v>W</v>
      </c>
      <c r="DF6" s="35" t="str">
        <f t="shared" si="41"/>
        <v>T</v>
      </c>
      <c r="DG6" s="35" t="str">
        <f t="shared" si="41"/>
        <v>F</v>
      </c>
      <c r="DH6" s="35" t="str">
        <f t="shared" si="41"/>
        <v>S</v>
      </c>
      <c r="DI6" s="35" t="str">
        <f t="shared" si="41"/>
        <v>S</v>
      </c>
    </row>
    <row r="7" spans="1:113" s="26" customFormat="1" ht="30" hidden="1" customHeight="1" thickBot="1" x14ac:dyDescent="0.2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row>
    <row r="8" spans="1:113" s="46" customFormat="1" ht="30" customHeight="1" thickBot="1" x14ac:dyDescent="0.25">
      <c r="A8" s="14"/>
      <c r="B8" s="40" t="s">
        <v>34</v>
      </c>
      <c r="C8" s="41"/>
      <c r="D8" s="42"/>
      <c r="E8" s="43"/>
      <c r="F8" s="44"/>
      <c r="G8" s="17"/>
      <c r="H8" s="5" t="str">
        <f t="shared" ref="H8:H31" si="4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row>
    <row r="9" spans="1:113" s="46" customFormat="1" ht="30" customHeight="1" thickBot="1" x14ac:dyDescent="0.25">
      <c r="A9" s="14"/>
      <c r="B9" s="47" t="s">
        <v>27</v>
      </c>
      <c r="C9" s="48" t="s">
        <v>28</v>
      </c>
      <c r="D9" s="49">
        <v>1</v>
      </c>
      <c r="E9" s="94">
        <f>Project_Start</f>
        <v>46136</v>
      </c>
      <c r="F9" s="94">
        <f>E9+3</f>
        <v>46139</v>
      </c>
      <c r="G9" s="17"/>
      <c r="H9" s="5">
        <f t="shared" si="42"/>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c r="DC9" s="50"/>
      <c r="DD9" s="50"/>
      <c r="DE9" s="50"/>
      <c r="DF9" s="50"/>
      <c r="DG9" s="50"/>
      <c r="DH9" s="50"/>
      <c r="DI9" s="50"/>
    </row>
    <row r="10" spans="1:113" s="46" customFormat="1" ht="30" customHeight="1" thickBot="1" x14ac:dyDescent="0.25">
      <c r="A10" s="14"/>
      <c r="B10" s="51" t="s">
        <v>33</v>
      </c>
      <c r="C10" s="48" t="s">
        <v>28</v>
      </c>
      <c r="D10" s="52">
        <v>1</v>
      </c>
      <c r="E10" s="95">
        <f>F9</f>
        <v>46139</v>
      </c>
      <c r="F10" s="95">
        <f>E10+2</f>
        <v>46141</v>
      </c>
      <c r="G10" s="17"/>
      <c r="H10" s="5">
        <f t="shared" si="42"/>
        <v>3</v>
      </c>
      <c r="I10" s="50"/>
      <c r="J10" s="50"/>
      <c r="K10" s="50"/>
      <c r="L10" s="50"/>
      <c r="M10" s="50"/>
      <c r="N10" s="50"/>
      <c r="O10" s="50"/>
      <c r="P10" s="50"/>
      <c r="Q10" s="50"/>
      <c r="R10" s="50"/>
      <c r="S10" s="50"/>
      <c r="T10" s="50"/>
      <c r="U10" s="53"/>
      <c r="V10" s="53"/>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row>
    <row r="11" spans="1:113" s="46" customFormat="1" ht="30" customHeight="1" thickBot="1" x14ac:dyDescent="0.25">
      <c r="A11" s="13"/>
      <c r="B11" s="51" t="s">
        <v>26</v>
      </c>
      <c r="C11" s="48" t="s">
        <v>28</v>
      </c>
      <c r="D11" s="52">
        <v>1</v>
      </c>
      <c r="E11" s="95">
        <f>F10</f>
        <v>46141</v>
      </c>
      <c r="F11" s="95">
        <f>E11+14</f>
        <v>46155</v>
      </c>
      <c r="G11" s="17"/>
      <c r="H11" s="5">
        <f t="shared" si="42"/>
        <v>15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c r="DC11" s="50"/>
      <c r="DD11" s="50"/>
      <c r="DE11" s="50"/>
      <c r="DF11" s="50"/>
      <c r="DG11" s="50"/>
      <c r="DH11" s="50"/>
      <c r="DI11" s="50"/>
    </row>
    <row r="12" spans="1:113" s="46" customFormat="1" ht="30" customHeight="1" thickBot="1" x14ac:dyDescent="0.25">
      <c r="A12" s="13"/>
      <c r="B12" s="105" t="s">
        <v>31</v>
      </c>
      <c r="C12" s="48" t="s">
        <v>28</v>
      </c>
      <c r="D12" s="52">
        <v>1</v>
      </c>
      <c r="E12" s="95">
        <f>F11+1</f>
        <v>46156</v>
      </c>
      <c r="F12" s="95">
        <f>E12</f>
        <v>46156</v>
      </c>
      <c r="G12" s="17"/>
      <c r="H12" s="5">
        <f t="shared" si="42"/>
        <v>1</v>
      </c>
      <c r="I12" s="50"/>
      <c r="J12" s="50"/>
      <c r="K12" s="50"/>
      <c r="L12" s="50"/>
      <c r="M12" s="50"/>
      <c r="N12" s="50"/>
      <c r="O12" s="50"/>
      <c r="P12" s="50"/>
      <c r="Q12" s="50"/>
      <c r="R12" s="50"/>
      <c r="S12" s="50"/>
      <c r="T12" s="50"/>
      <c r="U12" s="50"/>
      <c r="V12" s="50"/>
      <c r="W12" s="50"/>
      <c r="X12" s="50"/>
      <c r="Y12" s="53"/>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c r="CL12" s="50"/>
      <c r="CM12" s="50"/>
      <c r="CN12" s="50"/>
      <c r="CO12" s="50"/>
      <c r="CP12" s="50"/>
      <c r="CQ12" s="50"/>
      <c r="CR12" s="50"/>
      <c r="CS12" s="50"/>
      <c r="CT12" s="50"/>
      <c r="CU12" s="50"/>
      <c r="CV12" s="50"/>
      <c r="CW12" s="50"/>
      <c r="CX12" s="50"/>
      <c r="CY12" s="50"/>
      <c r="CZ12" s="50"/>
      <c r="DA12" s="50"/>
      <c r="DB12" s="50"/>
      <c r="DC12" s="50"/>
      <c r="DD12" s="50"/>
      <c r="DE12" s="50"/>
      <c r="DF12" s="50"/>
      <c r="DG12" s="50"/>
      <c r="DH12" s="50"/>
      <c r="DI12" s="50"/>
    </row>
    <row r="13" spans="1:113" s="46" customFormat="1" ht="30" customHeight="1" thickBot="1" x14ac:dyDescent="0.25">
      <c r="A13" s="14"/>
      <c r="B13" s="54" t="s">
        <v>35</v>
      </c>
      <c r="C13" s="55"/>
      <c r="D13" s="56"/>
      <c r="E13" s="96"/>
      <c r="F13" s="97"/>
      <c r="G13" s="17"/>
      <c r="H13" s="5" t="str">
        <f t="shared" si="42"/>
        <v/>
      </c>
    </row>
    <row r="14" spans="1:113" s="46" customFormat="1" ht="30" customHeight="1" thickBot="1" x14ac:dyDescent="0.25">
      <c r="A14" s="14"/>
      <c r="B14" s="57" t="s">
        <v>36</v>
      </c>
      <c r="C14" s="58" t="s">
        <v>28</v>
      </c>
      <c r="D14" s="59">
        <v>1</v>
      </c>
      <c r="E14" s="98">
        <f>F12+1</f>
        <v>46157</v>
      </c>
      <c r="F14" s="98">
        <v>46161</v>
      </c>
      <c r="G14" s="17"/>
      <c r="H14" s="5">
        <f t="shared" si="42"/>
        <v>5</v>
      </c>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c r="DB14" s="50"/>
      <c r="DC14" s="50"/>
      <c r="DD14" s="50"/>
      <c r="DE14" s="50"/>
      <c r="DF14" s="50"/>
      <c r="DG14" s="50"/>
      <c r="DH14" s="50"/>
      <c r="DI14" s="50"/>
    </row>
    <row r="15" spans="1:113" s="46" customFormat="1" ht="30" customHeight="1" thickBot="1" x14ac:dyDescent="0.25">
      <c r="A15" s="13"/>
      <c r="B15" s="57" t="s">
        <v>37</v>
      </c>
      <c r="C15" s="58" t="s">
        <v>28</v>
      </c>
      <c r="D15" s="59">
        <v>1</v>
      </c>
      <c r="E15" s="98">
        <f>F14</f>
        <v>46161</v>
      </c>
      <c r="F15" s="98">
        <v>46166</v>
      </c>
      <c r="G15" s="17"/>
      <c r="H15" s="5">
        <f t="shared" si="42"/>
        <v>6</v>
      </c>
      <c r="I15" s="50"/>
      <c r="J15" s="50"/>
      <c r="K15" s="50"/>
      <c r="L15" s="50"/>
      <c r="M15" s="50"/>
      <c r="N15" s="50"/>
      <c r="O15" s="50"/>
      <c r="P15" s="50"/>
      <c r="Q15" s="50"/>
      <c r="R15" s="50"/>
      <c r="S15" s="50"/>
      <c r="T15" s="50"/>
      <c r="U15" s="53"/>
      <c r="V15" s="53"/>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row>
    <row r="16" spans="1:113" s="46" customFormat="1" ht="30" customHeight="1" thickBot="1" x14ac:dyDescent="0.25">
      <c r="A16" s="13"/>
      <c r="B16" s="57" t="s">
        <v>38</v>
      </c>
      <c r="C16" s="58" t="s">
        <v>28</v>
      </c>
      <c r="D16" s="59">
        <v>1</v>
      </c>
      <c r="E16" s="98">
        <f>F15</f>
        <v>46166</v>
      </c>
      <c r="F16" s="98">
        <v>46169</v>
      </c>
      <c r="G16" s="17"/>
      <c r="H16" s="5">
        <f t="shared" si="42"/>
        <v>4</v>
      </c>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c r="CO16" s="50"/>
      <c r="CP16" s="50"/>
      <c r="CQ16" s="50"/>
      <c r="CR16" s="50"/>
      <c r="CS16" s="50"/>
      <c r="CT16" s="50"/>
      <c r="CU16" s="50"/>
      <c r="CV16" s="50"/>
      <c r="CW16" s="50"/>
      <c r="CX16" s="50"/>
      <c r="CY16" s="50"/>
      <c r="CZ16" s="50"/>
      <c r="DA16" s="50"/>
      <c r="DB16" s="50"/>
      <c r="DC16" s="50"/>
      <c r="DD16" s="50"/>
      <c r="DE16" s="50"/>
      <c r="DF16" s="50"/>
      <c r="DG16" s="50"/>
      <c r="DH16" s="50"/>
      <c r="DI16" s="50"/>
    </row>
    <row r="17" spans="1:113" s="46" customFormat="1" ht="30" customHeight="1" thickBot="1" x14ac:dyDescent="0.25">
      <c r="A17" s="13"/>
      <c r="B17" s="106" t="s">
        <v>31</v>
      </c>
      <c r="C17" s="58" t="s">
        <v>28</v>
      </c>
      <c r="D17" s="59">
        <v>1</v>
      </c>
      <c r="E17" s="98">
        <f>F16+1</f>
        <v>46170</v>
      </c>
      <c r="F17" s="98">
        <f>E17</f>
        <v>46170</v>
      </c>
      <c r="G17" s="17"/>
      <c r="H17" s="5"/>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row>
    <row r="18" spans="1:113" s="46" customFormat="1" ht="30" customHeight="1" thickBot="1" x14ac:dyDescent="0.25">
      <c r="A18" s="13"/>
      <c r="B18" s="60" t="s">
        <v>39</v>
      </c>
      <c r="C18" s="61"/>
      <c r="D18" s="62"/>
      <c r="E18" s="99"/>
      <c r="F18" s="100"/>
      <c r="G18" s="17"/>
      <c r="H18" s="5" t="str">
        <f t="shared" si="42"/>
        <v/>
      </c>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c r="CR18" s="63"/>
      <c r="CS18" s="63"/>
      <c r="CT18" s="63"/>
      <c r="CU18" s="63"/>
      <c r="CV18" s="63"/>
      <c r="CW18" s="63"/>
      <c r="CX18" s="63"/>
      <c r="CY18" s="63"/>
      <c r="CZ18" s="63"/>
      <c r="DA18" s="63"/>
      <c r="DB18" s="63"/>
      <c r="DC18" s="63"/>
      <c r="DD18" s="63"/>
      <c r="DE18" s="63"/>
      <c r="DF18" s="63"/>
      <c r="DG18" s="63"/>
      <c r="DH18" s="63"/>
      <c r="DI18" s="63"/>
    </row>
    <row r="19" spans="1:113" s="46" customFormat="1" ht="30" customHeight="1" thickBot="1" x14ac:dyDescent="0.25">
      <c r="A19" s="13"/>
      <c r="B19" s="64" t="s">
        <v>45</v>
      </c>
      <c r="C19" s="65" t="s">
        <v>28</v>
      </c>
      <c r="D19" s="66">
        <v>1</v>
      </c>
      <c r="E19" s="101">
        <f>F17+1</f>
        <v>46171</v>
      </c>
      <c r="F19" s="101">
        <v>46183</v>
      </c>
      <c r="G19" s="17"/>
      <c r="H19" s="5">
        <f t="shared" si="42"/>
        <v>13</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row>
    <row r="20" spans="1:113" s="46" customFormat="1" ht="30" customHeight="1" thickBot="1" x14ac:dyDescent="0.25">
      <c r="A20" s="13"/>
      <c r="B20" s="64" t="s">
        <v>46</v>
      </c>
      <c r="C20" s="65" t="s">
        <v>28</v>
      </c>
      <c r="D20" s="66">
        <v>1</v>
      </c>
      <c r="E20" s="101">
        <f>E19</f>
        <v>46171</v>
      </c>
      <c r="F20" s="101">
        <f>F19</f>
        <v>46183</v>
      </c>
      <c r="G20" s="17"/>
      <c r="H20" s="5">
        <f t="shared" si="42"/>
        <v>13</v>
      </c>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row>
    <row r="21" spans="1:113" s="46" customFormat="1" ht="30" customHeight="1" thickBot="1" x14ac:dyDescent="0.25">
      <c r="A21" s="13"/>
      <c r="B21" s="107" t="s">
        <v>32</v>
      </c>
      <c r="C21" s="65" t="s">
        <v>28</v>
      </c>
      <c r="D21" s="66">
        <v>1</v>
      </c>
      <c r="E21" s="101">
        <f>F20+1</f>
        <v>46184</v>
      </c>
      <c r="F21" s="101">
        <v>46184</v>
      </c>
      <c r="G21" s="17"/>
      <c r="H21" s="5">
        <f t="shared" si="42"/>
        <v>1</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50"/>
    </row>
    <row r="22" spans="1:113" s="46" customFormat="1" ht="30" customHeight="1" thickBot="1" x14ac:dyDescent="0.25">
      <c r="A22" s="13"/>
      <c r="B22" s="64" t="s">
        <v>29</v>
      </c>
      <c r="C22" s="65" t="s">
        <v>28</v>
      </c>
      <c r="D22" s="66">
        <v>1</v>
      </c>
      <c r="E22" s="101">
        <f>F21+1</f>
        <v>46185</v>
      </c>
      <c r="F22" s="101">
        <v>46188</v>
      </c>
      <c r="G22" s="17"/>
      <c r="H22" s="5"/>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c r="DB22" s="50"/>
      <c r="DC22" s="50"/>
      <c r="DD22" s="50"/>
      <c r="DE22" s="50"/>
      <c r="DF22" s="50"/>
      <c r="DG22" s="50"/>
      <c r="DH22" s="50"/>
      <c r="DI22" s="50"/>
    </row>
    <row r="23" spans="1:113" s="46" customFormat="1" ht="30" customHeight="1" thickBot="1" x14ac:dyDescent="0.25">
      <c r="A23" s="13"/>
      <c r="B23" s="64" t="s">
        <v>44</v>
      </c>
      <c r="C23" s="65" t="s">
        <v>28</v>
      </c>
      <c r="D23" s="66">
        <v>1</v>
      </c>
      <c r="E23" s="101">
        <f>F22+1</f>
        <v>46189</v>
      </c>
      <c r="F23" s="101">
        <v>46201</v>
      </c>
      <c r="G23" s="17"/>
      <c r="H23" s="5">
        <f t="shared" si="42"/>
        <v>13</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50"/>
    </row>
    <row r="24" spans="1:113" s="46" customFormat="1" ht="30" customHeight="1" thickBot="1" x14ac:dyDescent="0.25">
      <c r="A24" s="13"/>
      <c r="B24" s="67" t="s">
        <v>40</v>
      </c>
      <c r="C24" s="68"/>
      <c r="D24" s="69"/>
      <c r="E24" s="102"/>
      <c r="F24" s="103"/>
      <c r="G24" s="17"/>
      <c r="H24" s="5" t="str">
        <f t="shared" si="42"/>
        <v/>
      </c>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c r="CW24" s="70"/>
      <c r="CX24" s="70"/>
      <c r="CY24" s="70"/>
      <c r="CZ24" s="70"/>
      <c r="DA24" s="70"/>
      <c r="DB24" s="70"/>
      <c r="DC24" s="70"/>
      <c r="DD24" s="70"/>
      <c r="DE24" s="70"/>
      <c r="DF24" s="70"/>
      <c r="DG24" s="70"/>
      <c r="DH24" s="70"/>
      <c r="DI24" s="70"/>
    </row>
    <row r="25" spans="1:113" s="46" customFormat="1" ht="30" customHeight="1" thickBot="1" x14ac:dyDescent="0.25">
      <c r="A25" s="13"/>
      <c r="B25" s="71" t="s">
        <v>41</v>
      </c>
      <c r="C25" s="72" t="s">
        <v>28</v>
      </c>
      <c r="D25" s="73">
        <v>1</v>
      </c>
      <c r="E25" s="104">
        <v>46184</v>
      </c>
      <c r="F25" s="104">
        <v>46188</v>
      </c>
      <c r="G25" s="17"/>
      <c r="H25" s="5">
        <f t="shared" si="42"/>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50"/>
    </row>
    <row r="26" spans="1:113" s="46" customFormat="1" ht="30" customHeight="1" thickBot="1" x14ac:dyDescent="0.25">
      <c r="A26" s="13"/>
      <c r="B26" s="71" t="s">
        <v>24</v>
      </c>
      <c r="C26" s="72" t="s">
        <v>28</v>
      </c>
      <c r="D26" s="73">
        <v>1</v>
      </c>
      <c r="E26" s="104">
        <f>F25+1</f>
        <v>46189</v>
      </c>
      <c r="F26" s="104">
        <v>46190</v>
      </c>
      <c r="G26" s="17"/>
      <c r="H26" s="5">
        <f t="shared" si="42"/>
        <v>2</v>
      </c>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50"/>
    </row>
    <row r="27" spans="1:113" s="46" customFormat="1" ht="30" customHeight="1" thickBot="1" x14ac:dyDescent="0.25">
      <c r="A27" s="13"/>
      <c r="B27" s="71" t="s">
        <v>42</v>
      </c>
      <c r="C27" s="72" t="s">
        <v>28</v>
      </c>
      <c r="D27" s="73">
        <v>1</v>
      </c>
      <c r="E27" s="104">
        <f>F26+1</f>
        <v>46191</v>
      </c>
      <c r="F27" s="104">
        <v>46192</v>
      </c>
      <c r="G27" s="17"/>
      <c r="H27" s="5"/>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row>
    <row r="28" spans="1:113" s="46" customFormat="1" ht="30" customHeight="1" thickBot="1" x14ac:dyDescent="0.25">
      <c r="A28" s="13"/>
      <c r="B28" s="71" t="s">
        <v>43</v>
      </c>
      <c r="C28" s="72" t="s">
        <v>28</v>
      </c>
      <c r="D28" s="73">
        <v>1</v>
      </c>
      <c r="E28" s="104">
        <f>F27</f>
        <v>46192</v>
      </c>
      <c r="F28" s="104">
        <v>46198</v>
      </c>
      <c r="G28" s="17"/>
      <c r="H28" s="5"/>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c r="CS28" s="50"/>
      <c r="CT28" s="50"/>
      <c r="CU28" s="50"/>
      <c r="CV28" s="50"/>
      <c r="CW28" s="50"/>
      <c r="CX28" s="50"/>
      <c r="CY28" s="50"/>
      <c r="CZ28" s="50"/>
      <c r="DA28" s="50"/>
      <c r="DB28" s="50"/>
      <c r="DC28" s="50"/>
      <c r="DD28" s="50"/>
      <c r="DE28" s="50"/>
      <c r="DF28" s="50"/>
      <c r="DG28" s="50"/>
      <c r="DH28" s="50"/>
      <c r="DI28" s="50"/>
    </row>
    <row r="29" spans="1:113" s="46" customFormat="1" ht="30" customHeight="1" thickBot="1" x14ac:dyDescent="0.25">
      <c r="A29" s="13"/>
      <c r="B29" s="108" t="s">
        <v>30</v>
      </c>
      <c r="C29" s="72" t="s">
        <v>28</v>
      </c>
      <c r="D29" s="73">
        <v>1</v>
      </c>
      <c r="E29" s="104">
        <v>46203</v>
      </c>
      <c r="F29" s="104">
        <v>46203</v>
      </c>
      <c r="G29" s="17"/>
      <c r="H29" s="5">
        <f t="shared" si="42"/>
        <v>1</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50"/>
    </row>
    <row r="30" spans="1:113" s="46" customFormat="1" ht="30" customHeight="1" thickBot="1" x14ac:dyDescent="0.25">
      <c r="A30" s="13"/>
      <c r="B30" s="74"/>
      <c r="C30" s="75"/>
      <c r="D30" s="76"/>
      <c r="E30" s="77"/>
      <c r="F30" s="77"/>
      <c r="G30" s="17"/>
      <c r="H30" s="5" t="str">
        <f t="shared" si="42"/>
        <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row>
    <row r="31" spans="1:113" s="46" customFormat="1" ht="30" customHeight="1" thickBot="1" x14ac:dyDescent="0.25">
      <c r="A31" s="14"/>
      <c r="B31" s="78" t="s">
        <v>0</v>
      </c>
      <c r="C31" s="79"/>
      <c r="D31" s="80"/>
      <c r="E31" s="81"/>
      <c r="F31" s="82"/>
      <c r="G31" s="17"/>
      <c r="H31" s="6" t="str">
        <f t="shared" si="42"/>
        <v/>
      </c>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row>
    <row r="32" spans="1:113" ht="30" customHeight="1" x14ac:dyDescent="0.2">
      <c r="G32" s="3"/>
    </row>
    <row r="33" spans="3:6" ht="30" customHeight="1" x14ac:dyDescent="0.25">
      <c r="C33" s="16"/>
      <c r="F33" s="15"/>
    </row>
    <row r="34" spans="3:6" ht="30" customHeight="1" x14ac:dyDescent="0.2">
      <c r="C34" s="4"/>
    </row>
  </sheetData>
  <mergeCells count="25">
    <mergeCell ref="A5:A6"/>
    <mergeCell ref="B5:B6"/>
    <mergeCell ref="C5:C6"/>
    <mergeCell ref="D5:D6"/>
    <mergeCell ref="E5:E6"/>
    <mergeCell ref="AR4:AX4"/>
    <mergeCell ref="AY4:BE4"/>
    <mergeCell ref="F5:F6"/>
    <mergeCell ref="Q2:Z2"/>
    <mergeCell ref="I1:O1"/>
    <mergeCell ref="I2:O2"/>
    <mergeCell ref="Q1:AE1"/>
    <mergeCell ref="I4:O4"/>
    <mergeCell ref="P4:V4"/>
    <mergeCell ref="W4:AC4"/>
    <mergeCell ref="AD4:AJ4"/>
    <mergeCell ref="AK4:AQ4"/>
    <mergeCell ref="DC4:DI4"/>
    <mergeCell ref="BM4:BS4"/>
    <mergeCell ref="BF4:BL4"/>
    <mergeCell ref="BT4:BZ4"/>
    <mergeCell ref="CA4:CG4"/>
    <mergeCell ref="CH4:CN4"/>
    <mergeCell ref="CO4:CU4"/>
    <mergeCell ref="CV4:DB4"/>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DH29">
    <cfRule type="expression" dxfId="14" priority="1">
      <formula>AND(TODAY()&gt;=I$5, TODAY()&lt;J$5)</formula>
    </cfRule>
  </conditionalFormatting>
  <conditionalFormatting sqref="I9:DH12">
    <cfRule type="expression" dxfId="13" priority="7" stopIfTrue="1">
      <formula>AND(task_end&gt;=I$5,task_start&lt;J$5)</formula>
    </cfRule>
  </conditionalFormatting>
  <conditionalFormatting sqref="I14:DH17">
    <cfRule type="expression" dxfId="12" priority="5" stopIfTrue="1">
      <formula>AND(task_end&gt;=I$5,task_start&lt;J$5)</formula>
    </cfRule>
  </conditionalFormatting>
  <conditionalFormatting sqref="I19:DH23">
    <cfRule type="expression" dxfId="11" priority="3" stopIfTrue="1">
      <formula>AND(task_end&gt;=I$5,task_start&lt;J$5)</formula>
    </cfRule>
  </conditionalFormatting>
  <conditionalFormatting sqref="I25:DH29">
    <cfRule type="expression" dxfId="10" priority="36">
      <formula>AND(task_start&lt;=I$5,ROUNDDOWN((task_end-task_start+1)*task_progress,0)+task_start-1&gt;=I$5)</formula>
    </cfRule>
    <cfRule type="expression" dxfId="9" priority="37" stopIfTrue="1">
      <formula>AND(task_end&gt;=I$5,task_start&lt;J$5)</formula>
    </cfRule>
  </conditionalFormatting>
  <conditionalFormatting sqref="I9:DI12">
    <cfRule type="expression" dxfId="8" priority="6">
      <formula>AND(task_start&lt;=I$5,ROUNDDOWN((task_end-task_start+1)*task_progress,0)+task_start-1&gt;=I$5)</formula>
    </cfRule>
  </conditionalFormatting>
  <conditionalFormatting sqref="I14:DI17">
    <cfRule type="expression" dxfId="7" priority="4">
      <formula>AND(task_start&lt;=I$5,ROUNDDOWN((task_end-task_start+1)*task_progress,0)+task_start-1&gt;=I$5)</formula>
    </cfRule>
  </conditionalFormatting>
  <conditionalFormatting sqref="I19:DI23">
    <cfRule type="expression" dxfId="6" priority="2">
      <formula>AND(task_start&lt;=I$5,ROUNDDOWN((task_end-task_start+1)*task_progress,0)+task_start-1&gt;=I$5)</formula>
    </cfRule>
  </conditionalFormatting>
  <conditionalFormatting sqref="DI4:DI29">
    <cfRule type="expression" dxfId="5" priority="57">
      <formula>AND(TODAY()&gt;=DI$5, TODAY()&lt;#REF!)</formula>
    </cfRule>
  </conditionalFormatting>
  <conditionalFormatting sqref="DI9:DI12">
    <cfRule type="expression" dxfId="4" priority="59" stopIfTrue="1">
      <formula>AND(task_end&gt;=DI$5,task_start&lt;#REF!)</formula>
    </cfRule>
  </conditionalFormatting>
  <conditionalFormatting sqref="DI14:DI17">
    <cfRule type="expression" dxfId="3" priority="61" stopIfTrue="1">
      <formula>AND(task_end&gt;=DI$5,task_start&lt;#REF!)</formula>
    </cfRule>
  </conditionalFormatting>
  <conditionalFormatting sqref="DI19:DI23">
    <cfRule type="expression" dxfId="2" priority="63" stopIfTrue="1">
      <formula>AND(task_end&gt;=DI$5,task_start&lt;#REF!)</formula>
    </cfRule>
  </conditionalFormatting>
  <conditionalFormatting sqref="DI25:DI29">
    <cfRule type="expression" dxfId="1" priority="66">
      <formula>AND(task_start&lt;=DI$5,ROUNDDOWN((task_end-task_start+1)*task_progress,0)+task_start-1&gt;=DI$5)</formula>
    </cfRule>
    <cfRule type="expression" dxfId="0" priority="67" stopIfTrue="1">
      <formula>AND(task_end&gt;=DI$5,task_start&lt;#REF!)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8" zoomScaleNormal="100" workbookViewId="0">
      <selection activeCell="A10" sqref="A10"/>
    </sheetView>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87" t="s">
        <v>8</v>
      </c>
      <c r="B2" s="8"/>
    </row>
    <row r="3" spans="1:2" s="11" customFormat="1" ht="27" customHeight="1" x14ac:dyDescent="0.2">
      <c r="A3" s="88"/>
      <c r="B3" s="12"/>
    </row>
    <row r="4" spans="1:2" s="10" customFormat="1" ht="31.5" x14ac:dyDescent="0.6">
      <c r="A4" s="89" t="s">
        <v>7</v>
      </c>
    </row>
    <row r="5" spans="1:2" ht="74.25" customHeight="1" x14ac:dyDescent="0.2">
      <c r="A5" s="90" t="s">
        <v>16</v>
      </c>
    </row>
    <row r="6" spans="1:2" ht="26.25" customHeight="1" x14ac:dyDescent="0.2">
      <c r="A6" s="89" t="s">
        <v>19</v>
      </c>
    </row>
    <row r="7" spans="1:2" s="7" customFormat="1" ht="205.15" customHeight="1" x14ac:dyDescent="0.2">
      <c r="A7" s="91" t="s">
        <v>18</v>
      </c>
    </row>
    <row r="8" spans="1:2" s="10" customFormat="1" ht="31.5" x14ac:dyDescent="0.6">
      <c r="A8" s="89" t="s">
        <v>9</v>
      </c>
    </row>
    <row r="9" spans="1:2" ht="57" x14ac:dyDescent="0.2">
      <c r="A9" s="90" t="s">
        <v>17</v>
      </c>
    </row>
    <row r="10" spans="1:2" s="7" customFormat="1" ht="28.15" customHeight="1" x14ac:dyDescent="0.2">
      <c r="A10" s="92" t="s">
        <v>15</v>
      </c>
    </row>
    <row r="11" spans="1:2" s="10" customFormat="1" ht="31.5" x14ac:dyDescent="0.6">
      <c r="A11" s="89" t="s">
        <v>6</v>
      </c>
    </row>
    <row r="12" spans="1:2" ht="28.5" x14ac:dyDescent="0.2">
      <c r="A12" s="90" t="s">
        <v>14</v>
      </c>
    </row>
    <row r="13" spans="1:2" s="7" customFormat="1" ht="28.15" customHeight="1" x14ac:dyDescent="0.2">
      <c r="A13" s="92" t="s">
        <v>2</v>
      </c>
    </row>
    <row r="14" spans="1:2" s="10" customFormat="1" ht="31.5" x14ac:dyDescent="0.6">
      <c r="A14" s="89" t="s">
        <v>10</v>
      </c>
    </row>
    <row r="15" spans="1:2" ht="75" customHeight="1" x14ac:dyDescent="0.2">
      <c r="A15" s="90" t="s">
        <v>11</v>
      </c>
    </row>
    <row r="16" spans="1:2" ht="71.25" x14ac:dyDescent="0.2">
      <c r="A16" s="90" t="s">
        <v>12</v>
      </c>
    </row>
    <row r="17" spans="1:1" x14ac:dyDescent="0.2">
      <c r="A17" s="93"/>
    </row>
    <row r="18" spans="1:1" x14ac:dyDescent="0.2">
      <c r="A18" s="93"/>
    </row>
    <row r="19" spans="1:1" x14ac:dyDescent="0.2">
      <c r="A19" s="93"/>
    </row>
    <row r="20" spans="1:1" x14ac:dyDescent="0.2">
      <c r="A20" s="93"/>
    </row>
    <row r="21" spans="1:1" x14ac:dyDescent="0.2">
      <c r="A21" s="93"/>
    </row>
    <row r="22" spans="1:1" x14ac:dyDescent="0.2">
      <c r="A22" s="93"/>
    </row>
    <row r="23" spans="1:1" x14ac:dyDescent="0.2">
      <c r="A23" s="93"/>
    </row>
    <row r="24" spans="1:1" x14ac:dyDescent="0.2">
      <c r="A24" s="9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b199227-0a00-4c16-be9f-419c74a56992" xsi:nil="true"/>
    <ReferenceId xmlns="13303041-1ff2-4ebe-bb4e-0908a1e75c28" xsi:nil="true"/>
    <lcf76f155ced4ddcb4097134ff3c332f xmlns="13303041-1ff2-4ebe-bb4e-0908a1e75c2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53E8A93756BE48956E9491AA8B5883" ma:contentTypeVersion="15" ma:contentTypeDescription="Create a new document." ma:contentTypeScope="" ma:versionID="370defb4033d4ded521d6b0a15839290">
  <xsd:schema xmlns:xsd="http://www.w3.org/2001/XMLSchema" xmlns:xs="http://www.w3.org/2001/XMLSchema" xmlns:p="http://schemas.microsoft.com/office/2006/metadata/properties" xmlns:ns2="13303041-1ff2-4ebe-bb4e-0908a1e75c28" xmlns:ns3="8b199227-0a00-4c16-be9f-419c74a56992" targetNamespace="http://schemas.microsoft.com/office/2006/metadata/properties" ma:root="true" ma:fieldsID="b56c46814875e45e5c1f97c531e1ad8e" ns2:_="" ns3:_="">
    <xsd:import namespace="13303041-1ff2-4ebe-bb4e-0908a1e75c28"/>
    <xsd:import namespace="8b199227-0a00-4c16-be9f-419c74a5699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303041-1ff2-4ebe-bb4e-0908a1e75c28"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1f47cd6-212f-4ea2-b6af-f1d1e47bdbaf"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199227-0a00-4c16-be9f-419c74a5699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22b83bf-ceb9-4f7d-8e0d-034d3cb3e70e}" ma:internalName="TaxCatchAll" ma:showField="CatchAllData" ma:web="8b199227-0a00-4c16-be9f-419c74a569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E870445B-89C4-4181-888D-1E84E131242C}"/>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William Lam</dc:creator>
  <dc:description/>
  <cp:lastModifiedBy>William Lam</cp:lastModifiedBy>
  <dcterms:created xsi:type="dcterms:W3CDTF">2022-03-11T22:41:12Z</dcterms:created>
  <dcterms:modified xsi:type="dcterms:W3CDTF">2026-06-29T12:57:56Z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0x0101004353E8A93756BE48956E9491AA8B5883</vt:lpwstr>
  </property>
  <property fmtid="{D5CDD505-2E9C-101B-9397-08002B2CF9AE}" pid="3" name="MediaServiceImageTags">
    <vt:lpwstr/>
  </property>
</Properties>
</file>